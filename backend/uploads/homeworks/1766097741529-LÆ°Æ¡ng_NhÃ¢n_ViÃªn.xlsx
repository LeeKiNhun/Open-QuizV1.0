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activeTab="3"/>
  </bookViews>
  <sheets>
    <sheet name="Tháng 2" sheetId="1" r:id="rId1"/>
    <sheet name="Tháng 3" sheetId="2" r:id="rId2"/>
    <sheet name="Tháng 4" sheetId="4" r:id="rId3"/>
    <sheet name="Tháng 5 - Hồ Đắc Di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<sst xmlns="http://schemas.openxmlformats.org/spreadsheetml/2006/main" count="897" uniqueCount="82">
  <si>
    <t>Ngày</t>
  </si>
  <si>
    <t>Tên</t>
  </si>
  <si>
    <t>Giờ vào</t>
  </si>
  <si>
    <t>Giờ ra</t>
  </si>
  <si>
    <t>Số giờ làm việc</t>
  </si>
  <si>
    <t>Lương giờ</t>
  </si>
  <si>
    <t>Thành tiền</t>
  </si>
  <si>
    <t>Tổng tiền</t>
  </si>
  <si>
    <t>Hoàng</t>
  </si>
  <si>
    <t>Thảo</t>
  </si>
  <si>
    <t>Trâm</t>
  </si>
  <si>
    <t>Duy</t>
  </si>
  <si>
    <t>Ngọc</t>
  </si>
  <si>
    <t>Quỳnh</t>
  </si>
  <si>
    <t>Lượng</t>
  </si>
  <si>
    <t>Tổng</t>
  </si>
  <si>
    <t>đi trễ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</si>
  <si>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</si>
  <si>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</si>
  <si>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</si>
  <si>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</si>
  <si>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</si>
  <si>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</si>
  <si>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</si>
  <si>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</si>
  <si>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</si>
  <si>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</si>
  <si>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</si>
  <si>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</si>
  <si>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</si>
  <si>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</si>
  <si>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</si>
  <si>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cách giờ</t>
  </si>
  <si>
    <t>An</t>
  </si>
  <si>
    <t>Tân</t>
  </si>
  <si>
    <t>Tuấn</t>
  </si>
  <si>
    <t>13/3/2025</t>
  </si>
  <si>
    <t>14/3/2025</t>
  </si>
  <si>
    <t>15/3/2025</t>
  </si>
  <si>
    <t>16/3/2025</t>
  </si>
  <si>
    <t>17/3/2025</t>
  </si>
  <si>
    <t>18/3/2025</t>
  </si>
  <si>
    <t>19/3/2025</t>
  </si>
  <si>
    <t>Việt</t>
  </si>
  <si>
    <t>20/3/2025</t>
  </si>
  <si>
    <t>21/3/2025</t>
  </si>
  <si>
    <t>Sang</t>
  </si>
  <si>
    <t>22/3/2025</t>
  </si>
  <si>
    <t>23/3/2025</t>
  </si>
  <si>
    <t>24/3/2025</t>
  </si>
  <si>
    <t>25/3/2025</t>
  </si>
  <si>
    <t>26/3/2025</t>
  </si>
  <si>
    <t>27/3/2025</t>
  </si>
  <si>
    <t>28/3/2025</t>
  </si>
  <si>
    <t>29/3/2025</t>
  </si>
  <si>
    <t>30/3/2025</t>
  </si>
  <si>
    <t>31/3/2025</t>
  </si>
  <si>
    <t>Đô</t>
  </si>
  <si>
    <t>Hương</t>
  </si>
  <si>
    <t>Hiệp</t>
  </si>
  <si>
    <t>Vy</t>
  </si>
  <si>
    <t>Bo</t>
  </si>
  <si>
    <t>Trí</t>
  </si>
  <si>
    <t>13/4/2025</t>
  </si>
  <si>
    <t>14/4/2025</t>
  </si>
  <si>
    <t>15/4/2025</t>
  </si>
  <si>
    <t>16/4/2025</t>
  </si>
  <si>
    <t>17/4/2025</t>
  </si>
  <si>
    <t>18/4/2025</t>
  </si>
  <si>
    <t>19/4/2025</t>
  </si>
  <si>
    <t>20/4/2025</t>
  </si>
  <si>
    <t>21/4/2025</t>
  </si>
  <si>
    <t>22/4/2025</t>
  </si>
  <si>
    <t>23/4/2025</t>
  </si>
  <si>
    <t>24/4/2025</t>
  </si>
  <si>
    <t>25/4/2025</t>
  </si>
  <si>
    <t>26/4/2025</t>
  </si>
  <si>
    <t>27/4/2025</t>
  </si>
  <si>
    <t>28/4/2025</t>
  </si>
  <si>
    <t>29/4/2025</t>
  </si>
  <si>
    <t>30/4/2025</t>
  </si>
  <si>
    <t>Thứ 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</si>
</sst>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h:mm\ AM/PM"/>
    <numFmt numFmtId="180" formatCode="0.00_);[Red]\(0.00\)"/>
    <numFmt numFmtId="181" formatCode="_ * #,##0.000_ ;_ * \-#,##0.000_ ;_ * &quot;-&quot;??.0_ ;_ @_ "/>
    <numFmt numFmtId="182" formatCode="0.000_ "/>
    <numFmt numFmtId="183" formatCode="dd/mm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8" fontId="0" fillId="0" borderId="0" xfId="0" applyNumberFormat="1" applyBorder="1">
      <alignment vertical="center"/>
    </xf>
    <xf numFmtId="0" fontId="0" fillId="0" borderId="0" xfId="0" applyBorder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181" fontId="0" fillId="3" borderId="1" xfId="1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1" fontId="0" fillId="0" borderId="1" xfId="1" applyNumberFormat="1" applyBorder="1" applyAlignment="1">
      <alignment vertical="center"/>
    </xf>
    <xf numFmtId="181" fontId="0" fillId="0" borderId="0" xfId="0" applyNumberFormat="1" applyAlignment="1">
      <alignment vertical="center"/>
    </xf>
    <xf numFmtId="180" fontId="0" fillId="4" borderId="1" xfId="0" applyNumberFormat="1" applyFill="1" applyBorder="1" applyAlignment="1">
      <alignment horizontal="center" vertical="center"/>
    </xf>
    <xf numFmtId="181" fontId="0" fillId="4" borderId="1" xfId="1" applyNumberFormat="1" applyFill="1" applyBorder="1" applyAlignment="1">
      <alignment vertical="center"/>
    </xf>
    <xf numFmtId="0" fontId="0" fillId="6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Border="1" applyAlignment="1">
      <alignment horizontal="center" vertical="center"/>
    </xf>
    <xf numFmtId="178" fontId="0" fillId="7" borderId="1" xfId="0" applyNumberFormat="1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179" fontId="0" fillId="7" borderId="1" xfId="0" applyNumberFormat="1" applyFill="1" applyBorder="1" applyAlignment="1">
      <alignment horizontal="center" vertical="center"/>
    </xf>
    <xf numFmtId="182" fontId="0" fillId="0" borderId="1" xfId="0" applyNumberFormat="1" applyBorder="1">
      <alignment vertical="center"/>
    </xf>
    <xf numFmtId="180" fontId="0" fillId="7" borderId="1" xfId="0" applyNumberFormat="1" applyFill="1" applyBorder="1" applyAlignment="1">
      <alignment horizontal="center" vertical="center"/>
    </xf>
    <xf numFmtId="182" fontId="0" fillId="7" borderId="1" xfId="0" applyNumberFormat="1" applyFill="1" applyBorder="1">
      <alignment vertical="center"/>
    </xf>
    <xf numFmtId="181" fontId="0" fillId="7" borderId="1" xfId="1" applyNumberFormat="1" applyFill="1" applyBorder="1" applyAlignment="1">
      <alignment vertical="center"/>
    </xf>
    <xf numFmtId="178" fontId="0" fillId="7" borderId="1" xfId="0" applyNumberForma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9" fontId="0" fillId="8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>
      <alignment vertical="center"/>
    </xf>
    <xf numFmtId="178" fontId="0" fillId="8" borderId="1" xfId="0" applyNumberFormat="1" applyFill="1" applyBorder="1">
      <alignment vertical="center"/>
    </xf>
    <xf numFmtId="180" fontId="0" fillId="8" borderId="1" xfId="0" applyNumberFormat="1" applyFill="1" applyBorder="1" applyAlignment="1">
      <alignment horizontal="center" vertical="center"/>
    </xf>
    <xf numFmtId="182" fontId="0" fillId="8" borderId="1" xfId="0" applyNumberFormat="1" applyFill="1" applyBorder="1">
      <alignment vertical="center"/>
    </xf>
    <xf numFmtId="181" fontId="0" fillId="8" borderId="1" xfId="1" applyNumberFormat="1" applyFill="1" applyBorder="1" applyAlignment="1">
      <alignment vertical="center"/>
    </xf>
    <xf numFmtId="182" fontId="0" fillId="4" borderId="1" xfId="0" applyNumberFormat="1" applyFill="1" applyBorder="1">
      <alignment vertical="center"/>
    </xf>
    <xf numFmtId="178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9" fontId="0" fillId="9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0" fillId="9" borderId="1" xfId="0" applyNumberFormat="1" applyFill="1" applyBorder="1" applyAlignment="1">
      <alignment horizontal="center" vertical="center"/>
    </xf>
    <xf numFmtId="182" fontId="0" fillId="9" borderId="1" xfId="0" applyNumberFormat="1" applyFill="1" applyBorder="1">
      <alignment vertical="center"/>
    </xf>
    <xf numFmtId="181" fontId="0" fillId="9" borderId="1" xfId="1" applyNumberFormat="1" applyFill="1" applyBorder="1" applyAlignment="1">
      <alignment vertical="center"/>
    </xf>
    <xf numFmtId="0" fontId="0" fillId="3" borderId="1" xfId="0" applyFill="1" applyBorder="1">
      <alignment vertical="center"/>
    </xf>
    <xf numFmtId="178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9" fontId="0" fillId="10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180" fontId="0" fillId="10" borderId="1" xfId="0" applyNumberFormat="1" applyFill="1" applyBorder="1" applyAlignment="1">
      <alignment horizontal="center" vertical="center"/>
    </xf>
    <xf numFmtId="181" fontId="0" fillId="10" borderId="1" xfId="1" applyNumberFormat="1" applyFill="1" applyBorder="1" applyAlignment="1">
      <alignment vertical="center"/>
    </xf>
    <xf numFmtId="179" fontId="0" fillId="3" borderId="1" xfId="0" applyNumberFormat="1" applyFont="1" applyFill="1" applyBorder="1" applyAlignment="1">
      <alignment horizontal="center" vertical="center"/>
    </xf>
    <xf numFmtId="183" fontId="0" fillId="0" borderId="1" xfId="0" applyNumberFormat="1" applyBorder="1">
      <alignment vertical="center"/>
    </xf>
    <xf numFmtId="183" fontId="0" fillId="0" borderId="0" xfId="0" applyNumberFormat="1" applyBorder="1">
      <alignment vertical="center"/>
    </xf>
    <xf numFmtId="183" fontId="1" fillId="2" borderId="1" xfId="0" applyNumberFormat="1" applyFont="1" applyFill="1" applyBorder="1" applyAlignment="1">
      <alignment horizontal="center" vertical="center"/>
    </xf>
    <xf numFmtId="183" fontId="0" fillId="3" borderId="1" xfId="0" applyNumberFormat="1" applyFill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83" fontId="0" fillId="9" borderId="1" xfId="0" applyNumberFormat="1" applyFill="1" applyBorder="1" applyAlignment="1">
      <alignment horizontal="center" vertical="center"/>
    </xf>
    <xf numFmtId="183" fontId="0" fillId="3" borderId="1" xfId="0" applyNumberFormat="1" applyFill="1" applyBorder="1">
      <alignment vertical="center"/>
    </xf>
    <xf numFmtId="183" fontId="0" fillId="9" borderId="1" xfId="0" applyNumberFormat="1" applyFill="1" applyBorder="1">
      <alignment vertical="center"/>
    </xf>
    <xf numFmtId="58" fontId="0" fillId="3" borderId="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9F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O179"/>
  <sheetViews>
    <sheetView workbookViewId="0">
      <selection activeCell="D342" sqref="D342"/>
    </sheetView>
  </sheetViews>
  <sheetFormatPr defaultColWidth="9.14285714285714" defaultRowHeight="15"/>
  <cols>
    <col min="5" max="5" width="10.1428571428571" style="62" customWidth="1"/>
    <col min="6" max="6" width="9.14285714285714" style="11"/>
    <col min="7" max="8" width="9.57142857142857" style="11"/>
    <col min="9" max="9" width="15.5714285714286" style="2" customWidth="1"/>
    <col min="10" max="10" width="11.5714285714286" style="2" customWidth="1"/>
    <col min="11" max="11" width="12" style="2" customWidth="1"/>
    <col min="12" max="12" width="9.14285714285714" style="19"/>
    <col min="13" max="13" width="10.5714285714286" style="19"/>
    <col min="15" max="15" width="10.5714285714286"/>
  </cols>
  <sheetData>
    <row r="1" spans="5:11">
      <c r="E1" s="63"/>
      <c r="F1" s="28"/>
      <c r="G1" s="28"/>
      <c r="H1" s="28"/>
      <c r="I1" s="4"/>
      <c r="J1" s="4"/>
      <c r="K1" s="4"/>
    </row>
    <row r="2" spans="5:11">
      <c r="E2" s="63"/>
      <c r="F2" s="28"/>
      <c r="G2" s="28"/>
      <c r="H2" s="28"/>
      <c r="I2" s="4"/>
      <c r="J2" s="4"/>
      <c r="K2" s="4"/>
    </row>
    <row r="3" spans="5:11">
      <c r="E3" s="63"/>
      <c r="F3" s="28"/>
      <c r="G3" s="28"/>
      <c r="H3" s="28"/>
      <c r="I3" s="4"/>
      <c r="J3" s="4"/>
      <c r="K3" s="4"/>
    </row>
    <row r="4" spans="5:11">
      <c r="E4" s="63"/>
      <c r="F4" s="28"/>
      <c r="G4" s="28"/>
      <c r="H4" s="28"/>
      <c r="I4" s="4"/>
      <c r="J4" s="4"/>
      <c r="K4" s="4"/>
    </row>
    <row r="5" spans="5:11">
      <c r="E5" s="63"/>
      <c r="F5" s="28"/>
      <c r="G5" s="28"/>
      <c r="H5" s="28"/>
      <c r="I5" s="4"/>
      <c r="J5" s="4"/>
      <c r="K5" s="4"/>
    </row>
    <row r="6" spans="5:11">
      <c r="E6" s="63"/>
      <c r="F6" s="28"/>
      <c r="G6" s="28"/>
      <c r="H6" s="28"/>
      <c r="I6" s="4"/>
      <c r="J6" s="4"/>
      <c r="K6" s="4"/>
    </row>
    <row r="7" spans="5:11">
      <c r="E7" s="63"/>
      <c r="F7" s="28"/>
      <c r="G7" s="28"/>
      <c r="H7" s="28"/>
      <c r="I7" s="4"/>
      <c r="J7" s="4"/>
      <c r="K7" s="4"/>
    </row>
    <row r="8" spans="5:11">
      <c r="E8" s="63"/>
      <c r="F8" s="28"/>
      <c r="G8" s="28"/>
      <c r="H8" s="28"/>
      <c r="I8" s="4"/>
      <c r="J8" s="4"/>
      <c r="K8" s="4"/>
    </row>
    <row r="9" spans="5:15">
      <c r="E9" s="64" t="s">
        <v>0</v>
      </c>
      <c r="F9" s="6" t="s">
        <v>1</v>
      </c>
      <c r="G9" s="6" t="s">
        <v>2</v>
      </c>
      <c r="H9" s="6" t="s">
        <v>3</v>
      </c>
      <c r="I9" s="6" t="s">
        <v>4</v>
      </c>
      <c r="J9" s="6" t="s">
        <v>5</v>
      </c>
      <c r="K9" s="6" t="s">
        <v>6</v>
      </c>
      <c r="L9" s="16" t="s">
        <v>1</v>
      </c>
      <c r="M9" s="16" t="s">
        <v>7</v>
      </c>
      <c r="N9" s="16" t="s">
        <v>1</v>
      </c>
      <c r="O9" s="16" t="s">
        <v>7</v>
      </c>
    </row>
    <row r="10" spans="5:15">
      <c r="E10" s="65">
        <v>45696</v>
      </c>
      <c r="F10" s="8" t="s">
        <v>8</v>
      </c>
      <c r="G10" s="9">
        <v>0.229166666666667</v>
      </c>
      <c r="H10" s="9">
        <v>0.708333333333333</v>
      </c>
      <c r="I10" s="17">
        <f>(H10-G10)*24</f>
        <v>11.5</v>
      </c>
      <c r="J10" s="18">
        <v>15</v>
      </c>
      <c r="K10" s="18">
        <f>(J10*I10)</f>
        <v>172.5</v>
      </c>
      <c r="L10" s="19" t="s">
        <v>8</v>
      </c>
      <c r="M10" s="19">
        <f>SUMIF(F10:F213,"Hoàng",K10:K213)</f>
        <v>3157.5</v>
      </c>
      <c r="N10" s="19" t="s">
        <v>9</v>
      </c>
      <c r="O10" s="20">
        <f ca="1">SUMIF(F8:F211,"Thảo",K8:K179)</f>
        <v>1080</v>
      </c>
    </row>
    <row r="11" spans="5:15">
      <c r="E11" s="66"/>
      <c r="F11" s="11" t="s">
        <v>10</v>
      </c>
      <c r="G11" s="12">
        <v>0.229166666666667</v>
      </c>
      <c r="H11" s="12">
        <v>0.583333333333333</v>
      </c>
      <c r="I11" s="21">
        <f t="shared" ref="I11:I52" si="0">(H11-G11)*24</f>
        <v>8.49999999999999</v>
      </c>
      <c r="J11" s="22">
        <v>15</v>
      </c>
      <c r="K11" s="22">
        <f t="shared" ref="K11:K52" si="1">(J11*I11)</f>
        <v>127.5</v>
      </c>
      <c r="L11" s="19" t="s">
        <v>10</v>
      </c>
      <c r="M11" s="19">
        <f>SUMIF(F10:F213,"Trâm",K10:K213)</f>
        <v>1567.5</v>
      </c>
      <c r="N11" s="19" t="s">
        <v>11</v>
      </c>
      <c r="O11" s="20">
        <f>SUMIF(F9:F212,"Duy",K9:K214)</f>
        <v>0</v>
      </c>
    </row>
    <row r="12" spans="5:13">
      <c r="E12" s="66"/>
      <c r="F12" s="11" t="s">
        <v>12</v>
      </c>
      <c r="G12" s="12">
        <v>0.229166666666667</v>
      </c>
      <c r="H12" s="12">
        <v>0.708333333333333</v>
      </c>
      <c r="I12" s="21">
        <f t="shared" si="0"/>
        <v>11.5</v>
      </c>
      <c r="J12" s="22">
        <v>15</v>
      </c>
      <c r="K12" s="22">
        <f t="shared" si="1"/>
        <v>172.5</v>
      </c>
      <c r="L12" s="19" t="s">
        <v>12</v>
      </c>
      <c r="M12" s="20">
        <f>SUMIF(F10:F213,"Ngọc",K10:K213)</f>
        <v>2632.5</v>
      </c>
    </row>
    <row r="13" spans="5:13">
      <c r="E13" s="66"/>
      <c r="F13" s="11" t="s">
        <v>13</v>
      </c>
      <c r="I13" s="21">
        <f t="shared" si="0"/>
        <v>0</v>
      </c>
      <c r="J13" s="22">
        <v>15</v>
      </c>
      <c r="K13" s="22">
        <f t="shared" si="1"/>
        <v>0</v>
      </c>
      <c r="L13" s="19" t="s">
        <v>13</v>
      </c>
      <c r="M13" s="19">
        <f>SUMIF(F10:F213,"Quỳnh",K10:K213)</f>
        <v>1162.5</v>
      </c>
    </row>
    <row r="14" spans="5:13">
      <c r="E14" s="65">
        <v>45697</v>
      </c>
      <c r="F14" s="8" t="s">
        <v>8</v>
      </c>
      <c r="G14" s="9">
        <v>0.229166666666667</v>
      </c>
      <c r="H14" s="9">
        <v>0.458333333333333</v>
      </c>
      <c r="I14" s="17">
        <f t="shared" si="0"/>
        <v>5.49999999999998</v>
      </c>
      <c r="J14" s="18">
        <v>15</v>
      </c>
      <c r="K14" s="18">
        <f t="shared" si="1"/>
        <v>82.4999999999998</v>
      </c>
      <c r="L14" s="19" t="s">
        <v>14</v>
      </c>
      <c r="M14" s="19">
        <f>SUMIF(F10:F213,"Lượng",K10:K213)</f>
        <v>1657.5</v>
      </c>
    </row>
    <row r="15" spans="5:13">
      <c r="E15" s="66"/>
      <c r="F15" s="11" t="s">
        <v>10</v>
      </c>
      <c r="G15" s="12">
        <v>0.229166666666667</v>
      </c>
      <c r="H15" s="12">
        <v>0.708333333333333</v>
      </c>
      <c r="I15" s="21">
        <f t="shared" si="0"/>
        <v>11.5</v>
      </c>
      <c r="J15" s="22">
        <v>15</v>
      </c>
      <c r="K15" s="22">
        <f t="shared" si="1"/>
        <v>172.5</v>
      </c>
      <c r="L15" s="26" t="s">
        <v>15</v>
      </c>
      <c r="M15" s="20">
        <f ca="1">(SUM(M10,M14,M13,M12,M11,O10,O11))</f>
        <v>11257.5</v>
      </c>
    </row>
    <row r="16" spans="5:11">
      <c r="E16" s="66"/>
      <c r="F16" s="11" t="s">
        <v>10</v>
      </c>
      <c r="G16" s="12">
        <v>0.8125</v>
      </c>
      <c r="H16" s="12">
        <v>0.895833333333333</v>
      </c>
      <c r="I16" s="21">
        <f t="shared" si="0"/>
        <v>1.99999999999999</v>
      </c>
      <c r="J16" s="22">
        <v>15</v>
      </c>
      <c r="K16" s="22">
        <f t="shared" si="1"/>
        <v>29.9999999999999</v>
      </c>
    </row>
    <row r="17" spans="5:11">
      <c r="E17" s="66"/>
      <c r="F17" s="11" t="s">
        <v>12</v>
      </c>
      <c r="G17" s="12">
        <v>0.229166666666667</v>
      </c>
      <c r="H17" s="12">
        <v>0.375</v>
      </c>
      <c r="I17" s="21">
        <f t="shared" si="0"/>
        <v>3.49999999999999</v>
      </c>
      <c r="J17" s="22">
        <v>15</v>
      </c>
      <c r="K17" s="22">
        <f t="shared" si="1"/>
        <v>52.4999999999999</v>
      </c>
    </row>
    <row r="18" spans="5:11">
      <c r="E18" s="66"/>
      <c r="F18" s="11" t="s">
        <v>12</v>
      </c>
      <c r="G18" s="12">
        <v>0.458333333333333</v>
      </c>
      <c r="H18" s="67">
        <v>0.895833333333333</v>
      </c>
      <c r="I18" s="21">
        <f t="shared" si="0"/>
        <v>10.5</v>
      </c>
      <c r="J18" s="22">
        <v>15</v>
      </c>
      <c r="K18" s="22">
        <f t="shared" si="1"/>
        <v>157.5</v>
      </c>
    </row>
    <row r="19" spans="5:11">
      <c r="E19" s="66"/>
      <c r="F19" s="11" t="s">
        <v>13</v>
      </c>
      <c r="I19" s="21">
        <f t="shared" si="0"/>
        <v>0</v>
      </c>
      <c r="J19" s="22">
        <v>15</v>
      </c>
      <c r="K19" s="22">
        <f t="shared" si="1"/>
        <v>0</v>
      </c>
    </row>
    <row r="20" spans="5:11">
      <c r="E20" s="65">
        <v>45698</v>
      </c>
      <c r="F20" s="8" t="s">
        <v>8</v>
      </c>
      <c r="G20" s="9">
        <v>0.25</v>
      </c>
      <c r="H20" s="9">
        <v>0.458333333333333</v>
      </c>
      <c r="I20" s="17">
        <f t="shared" si="0"/>
        <v>4.99999999999999</v>
      </c>
      <c r="J20" s="18">
        <v>15</v>
      </c>
      <c r="K20" s="18">
        <f t="shared" si="1"/>
        <v>74.9999999999999</v>
      </c>
    </row>
    <row r="21" spans="5:11">
      <c r="E21" s="66"/>
      <c r="F21" s="11" t="s">
        <v>8</v>
      </c>
      <c r="G21" s="12">
        <v>0.708333333333333</v>
      </c>
      <c r="H21" s="12">
        <v>0.875</v>
      </c>
      <c r="I21" s="21">
        <f t="shared" si="0"/>
        <v>4.00000000000001</v>
      </c>
      <c r="J21" s="22">
        <v>15</v>
      </c>
      <c r="K21" s="22">
        <f t="shared" si="1"/>
        <v>60.0000000000001</v>
      </c>
    </row>
    <row r="22" spans="5:11">
      <c r="E22" s="66"/>
      <c r="F22" s="11" t="s">
        <v>10</v>
      </c>
      <c r="G22" s="12">
        <v>0.291666666666667</v>
      </c>
      <c r="H22" s="12">
        <v>0.520833333333333</v>
      </c>
      <c r="I22" s="21">
        <f t="shared" si="0"/>
        <v>5.49999999999998</v>
      </c>
      <c r="J22" s="22">
        <v>15</v>
      </c>
      <c r="K22" s="22">
        <f t="shared" si="1"/>
        <v>82.4999999999998</v>
      </c>
    </row>
    <row r="23" spans="5:11">
      <c r="E23" s="66"/>
      <c r="F23" s="11" t="s">
        <v>10</v>
      </c>
      <c r="G23" s="12">
        <v>0.708333333333333</v>
      </c>
      <c r="H23" s="12">
        <v>0.8125</v>
      </c>
      <c r="I23" s="21">
        <f t="shared" si="0"/>
        <v>2.50000000000001</v>
      </c>
      <c r="J23" s="22">
        <v>15</v>
      </c>
      <c r="K23" s="22">
        <f t="shared" si="1"/>
        <v>37.5000000000001</v>
      </c>
    </row>
    <row r="24" spans="5:11">
      <c r="E24" s="66"/>
      <c r="F24" s="11" t="s">
        <v>12</v>
      </c>
      <c r="G24" s="12">
        <v>0.375</v>
      </c>
      <c r="H24" s="12">
        <v>0.520833333333333</v>
      </c>
      <c r="I24" s="21">
        <f t="shared" si="0"/>
        <v>3.49999999999999</v>
      </c>
      <c r="J24" s="22">
        <v>15</v>
      </c>
      <c r="K24" s="22">
        <f t="shared" si="1"/>
        <v>52.4999999999999</v>
      </c>
    </row>
    <row r="25" spans="5:11">
      <c r="E25" s="66"/>
      <c r="F25" s="11" t="s">
        <v>12</v>
      </c>
      <c r="G25" s="12">
        <v>0.708333333333333</v>
      </c>
      <c r="H25" s="12">
        <v>0.8125</v>
      </c>
      <c r="I25" s="21">
        <f t="shared" si="0"/>
        <v>2.50000000000001</v>
      </c>
      <c r="J25" s="22">
        <v>15</v>
      </c>
      <c r="K25" s="22">
        <f t="shared" si="1"/>
        <v>37.5000000000001</v>
      </c>
    </row>
    <row r="26" spans="5:11">
      <c r="E26" s="68"/>
      <c r="F26" s="48" t="s">
        <v>13</v>
      </c>
      <c r="G26" s="49">
        <v>0.75</v>
      </c>
      <c r="H26" s="49">
        <v>0.875</v>
      </c>
      <c r="I26" s="51">
        <f t="shared" si="0"/>
        <v>3</v>
      </c>
      <c r="J26" s="53">
        <v>15</v>
      </c>
      <c r="K26" s="53">
        <f t="shared" si="1"/>
        <v>45</v>
      </c>
    </row>
    <row r="27" spans="5:11">
      <c r="E27" s="65">
        <v>45699</v>
      </c>
      <c r="F27" s="8" t="s">
        <v>8</v>
      </c>
      <c r="G27" s="9">
        <v>0.229166666666667</v>
      </c>
      <c r="H27" s="9">
        <v>0.583333333333333</v>
      </c>
      <c r="I27" s="17">
        <f t="shared" si="0"/>
        <v>8.49999999999999</v>
      </c>
      <c r="J27" s="18">
        <v>15</v>
      </c>
      <c r="K27" s="18">
        <f t="shared" si="1"/>
        <v>127.5</v>
      </c>
    </row>
    <row r="28" spans="5:11">
      <c r="E28" s="66"/>
      <c r="F28" s="11" t="s">
        <v>8</v>
      </c>
      <c r="G28" s="12">
        <v>0.75</v>
      </c>
      <c r="H28" s="12">
        <v>0.875</v>
      </c>
      <c r="I28" s="21">
        <f t="shared" si="0"/>
        <v>3</v>
      </c>
      <c r="J28" s="22">
        <v>15</v>
      </c>
      <c r="K28" s="22">
        <f t="shared" si="1"/>
        <v>45</v>
      </c>
    </row>
    <row r="29" spans="5:11">
      <c r="E29" s="66"/>
      <c r="F29" s="11" t="s">
        <v>10</v>
      </c>
      <c r="I29" s="21">
        <f t="shared" si="0"/>
        <v>0</v>
      </c>
      <c r="J29" s="22">
        <v>15</v>
      </c>
      <c r="K29" s="22">
        <f t="shared" si="1"/>
        <v>0</v>
      </c>
    </row>
    <row r="30" spans="5:11">
      <c r="E30" s="66"/>
      <c r="F30" s="11" t="s">
        <v>12</v>
      </c>
      <c r="I30" s="21">
        <f t="shared" si="0"/>
        <v>0</v>
      </c>
      <c r="J30" s="22">
        <v>15</v>
      </c>
      <c r="K30" s="22">
        <f t="shared" si="1"/>
        <v>0</v>
      </c>
    </row>
    <row r="31" spans="5:11">
      <c r="E31" s="66" t="s">
        <v>16</v>
      </c>
      <c r="F31" s="11" t="s">
        <v>13</v>
      </c>
      <c r="G31" s="12">
        <v>0.270833333333333</v>
      </c>
      <c r="H31" s="12">
        <v>0.5</v>
      </c>
      <c r="I31" s="21">
        <f t="shared" si="0"/>
        <v>5.50000000000001</v>
      </c>
      <c r="J31" s="22">
        <v>15</v>
      </c>
      <c r="K31" s="22">
        <f t="shared" si="1"/>
        <v>82.5000000000001</v>
      </c>
    </row>
    <row r="32" spans="5:11">
      <c r="E32" s="65">
        <v>45700</v>
      </c>
      <c r="F32" s="8" t="s">
        <v>8</v>
      </c>
      <c r="G32" s="9">
        <v>0.25</v>
      </c>
      <c r="H32" s="9">
        <v>0.458333333333333</v>
      </c>
      <c r="I32" s="17">
        <f t="shared" si="0"/>
        <v>4.99999999999999</v>
      </c>
      <c r="J32" s="18">
        <v>15</v>
      </c>
      <c r="K32" s="18">
        <f t="shared" si="1"/>
        <v>74.9999999999999</v>
      </c>
    </row>
    <row r="33" spans="5:11">
      <c r="E33" s="66"/>
      <c r="F33" s="11" t="s">
        <v>8</v>
      </c>
      <c r="G33" s="12">
        <v>0.708333333333333</v>
      </c>
      <c r="H33" s="12">
        <v>0.916666666666667</v>
      </c>
      <c r="I33" s="21">
        <f t="shared" si="0"/>
        <v>5.00000000000001</v>
      </c>
      <c r="J33" s="22">
        <v>15</v>
      </c>
      <c r="K33" s="22">
        <f t="shared" si="1"/>
        <v>75.0000000000002</v>
      </c>
    </row>
    <row r="34" spans="5:11">
      <c r="E34" s="66"/>
      <c r="F34" s="11" t="s">
        <v>10</v>
      </c>
      <c r="G34" s="12">
        <v>0.416666666666667</v>
      </c>
      <c r="H34" s="12">
        <v>0.520833333333333</v>
      </c>
      <c r="I34" s="21">
        <f t="shared" si="0"/>
        <v>2.49999999999998</v>
      </c>
      <c r="J34" s="22">
        <v>15</v>
      </c>
      <c r="K34" s="22">
        <f t="shared" si="1"/>
        <v>37.4999999999998</v>
      </c>
    </row>
    <row r="35" spans="5:11">
      <c r="E35" s="66"/>
      <c r="F35" s="11" t="s">
        <v>12</v>
      </c>
      <c r="G35" s="12">
        <v>0.25</v>
      </c>
      <c r="H35" s="12">
        <v>0.520833333333333</v>
      </c>
      <c r="I35" s="21">
        <f t="shared" si="0"/>
        <v>6.49999999999999</v>
      </c>
      <c r="J35" s="22">
        <v>15</v>
      </c>
      <c r="K35" s="22">
        <f t="shared" si="1"/>
        <v>97.4999999999999</v>
      </c>
    </row>
    <row r="36" spans="5:11">
      <c r="E36" s="66"/>
      <c r="F36" s="11" t="s">
        <v>13</v>
      </c>
      <c r="G36" s="12">
        <v>0.708333333333333</v>
      </c>
      <c r="H36" s="12">
        <v>0.916666666666667</v>
      </c>
      <c r="I36" s="21">
        <f t="shared" si="0"/>
        <v>5.00000000000001</v>
      </c>
      <c r="J36" s="22">
        <v>15</v>
      </c>
      <c r="K36" s="22">
        <f t="shared" si="1"/>
        <v>75.0000000000002</v>
      </c>
    </row>
    <row r="37" spans="5:11">
      <c r="E37" s="65">
        <v>45701</v>
      </c>
      <c r="F37" s="8" t="s">
        <v>8</v>
      </c>
      <c r="G37" s="9">
        <v>0.25</v>
      </c>
      <c r="H37" s="9">
        <v>0.583333333333333</v>
      </c>
      <c r="I37" s="17">
        <f t="shared" si="0"/>
        <v>7.99999999999999</v>
      </c>
      <c r="J37" s="18">
        <v>15</v>
      </c>
      <c r="K37" s="18">
        <f t="shared" si="1"/>
        <v>120</v>
      </c>
    </row>
    <row r="38" spans="6:11">
      <c r="F38" s="11" t="s">
        <v>8</v>
      </c>
      <c r="I38" s="21">
        <f t="shared" si="0"/>
        <v>0</v>
      </c>
      <c r="J38" s="22">
        <v>15</v>
      </c>
      <c r="K38" s="22">
        <f t="shared" si="1"/>
        <v>0</v>
      </c>
    </row>
    <row r="39" spans="6:11">
      <c r="F39" s="11" t="s">
        <v>10</v>
      </c>
      <c r="G39" s="15">
        <v>0.416666666666667</v>
      </c>
      <c r="H39" s="15">
        <v>0.5</v>
      </c>
      <c r="I39" s="21">
        <f t="shared" si="0"/>
        <v>1.99999999999999</v>
      </c>
      <c r="J39" s="22">
        <v>15</v>
      </c>
      <c r="K39" s="22">
        <f t="shared" si="1"/>
        <v>29.9999999999999</v>
      </c>
    </row>
    <row r="40" spans="6:11">
      <c r="F40" s="11" t="s">
        <v>10</v>
      </c>
      <c r="G40" s="12">
        <v>0.708333333333333</v>
      </c>
      <c r="H40" s="12">
        <v>0.791666666666667</v>
      </c>
      <c r="I40" s="21">
        <f t="shared" si="0"/>
        <v>2.00000000000001</v>
      </c>
      <c r="J40" s="22">
        <v>15</v>
      </c>
      <c r="K40" s="22">
        <f t="shared" si="1"/>
        <v>30.0000000000002</v>
      </c>
    </row>
    <row r="41" spans="6:11">
      <c r="F41" s="11" t="s">
        <v>12</v>
      </c>
      <c r="G41" s="15"/>
      <c r="H41" s="15"/>
      <c r="I41" s="21">
        <f t="shared" si="0"/>
        <v>0</v>
      </c>
      <c r="J41" s="22">
        <v>15</v>
      </c>
      <c r="K41" s="22">
        <f t="shared" si="1"/>
        <v>0</v>
      </c>
    </row>
    <row r="42" spans="6:11">
      <c r="F42" s="11" t="s">
        <v>13</v>
      </c>
      <c r="G42" s="15">
        <v>0.5</v>
      </c>
      <c r="H42" s="15">
        <v>0.708333333333333</v>
      </c>
      <c r="I42" s="21">
        <f t="shared" si="0"/>
        <v>4.99999999999999</v>
      </c>
      <c r="J42" s="22">
        <v>15</v>
      </c>
      <c r="K42" s="22">
        <f t="shared" si="1"/>
        <v>74.9999999999999</v>
      </c>
    </row>
    <row r="43" spans="5:11">
      <c r="E43" s="69" t="s">
        <v>17</v>
      </c>
      <c r="F43" s="8" t="s">
        <v>8</v>
      </c>
      <c r="G43" s="9">
        <v>0.708333333333333</v>
      </c>
      <c r="H43" s="9">
        <v>0.833333333333333</v>
      </c>
      <c r="I43" s="17">
        <f t="shared" si="0"/>
        <v>3</v>
      </c>
      <c r="J43" s="18">
        <v>15</v>
      </c>
      <c r="K43" s="18">
        <f t="shared" si="1"/>
        <v>45</v>
      </c>
    </row>
    <row r="44" spans="6:11">
      <c r="F44" s="11" t="s">
        <v>8</v>
      </c>
      <c r="I44" s="21">
        <f t="shared" si="0"/>
        <v>0</v>
      </c>
      <c r="J44" s="22">
        <v>15</v>
      </c>
      <c r="K44" s="22">
        <f t="shared" si="1"/>
        <v>0</v>
      </c>
    </row>
    <row r="45" spans="6:11">
      <c r="F45" s="11" t="s">
        <v>10</v>
      </c>
      <c r="G45" s="15">
        <v>0.416666666666667</v>
      </c>
      <c r="H45" s="15">
        <v>0.5</v>
      </c>
      <c r="I45" s="21">
        <f t="shared" si="0"/>
        <v>1.99999999999999</v>
      </c>
      <c r="J45" s="22">
        <v>15</v>
      </c>
      <c r="K45" s="22">
        <f t="shared" si="1"/>
        <v>29.9999999999999</v>
      </c>
    </row>
    <row r="46" spans="6:11">
      <c r="F46" s="11" t="s">
        <v>12</v>
      </c>
      <c r="G46" s="15">
        <v>0.708333333333333</v>
      </c>
      <c r="H46" s="15">
        <v>0.833333333333333</v>
      </c>
      <c r="I46" s="21">
        <f t="shared" si="0"/>
        <v>3</v>
      </c>
      <c r="J46" s="22">
        <v>15</v>
      </c>
      <c r="K46" s="22">
        <f t="shared" si="1"/>
        <v>45</v>
      </c>
    </row>
    <row r="47" spans="6:11">
      <c r="F47" s="11" t="s">
        <v>13</v>
      </c>
      <c r="G47" s="15">
        <v>0.5</v>
      </c>
      <c r="H47" s="15">
        <v>0.708333333333333</v>
      </c>
      <c r="I47" s="21">
        <f t="shared" si="0"/>
        <v>4.99999999999999</v>
      </c>
      <c r="J47" s="22">
        <v>15</v>
      </c>
      <c r="K47" s="22">
        <f t="shared" si="1"/>
        <v>74.9999999999999</v>
      </c>
    </row>
    <row r="48" spans="5:11">
      <c r="E48" s="69" t="s">
        <v>18</v>
      </c>
      <c r="F48" s="8" t="s">
        <v>8</v>
      </c>
      <c r="G48" s="9">
        <v>0.229166666666667</v>
      </c>
      <c r="H48" s="9">
        <v>0.916666666666667</v>
      </c>
      <c r="I48" s="17">
        <f t="shared" si="0"/>
        <v>16.5</v>
      </c>
      <c r="J48" s="18">
        <v>15</v>
      </c>
      <c r="K48" s="18">
        <f t="shared" si="1"/>
        <v>247.5</v>
      </c>
    </row>
    <row r="49" spans="6:11">
      <c r="F49" s="11" t="s">
        <v>8</v>
      </c>
      <c r="I49" s="21">
        <f t="shared" si="0"/>
        <v>0</v>
      </c>
      <c r="J49" s="22">
        <v>15</v>
      </c>
      <c r="K49" s="22">
        <f t="shared" si="1"/>
        <v>0</v>
      </c>
    </row>
    <row r="50" spans="6:11">
      <c r="F50" s="11" t="s">
        <v>10</v>
      </c>
      <c r="G50" s="15">
        <v>0.375</v>
      </c>
      <c r="H50" s="15">
        <v>0.916666666666667</v>
      </c>
      <c r="I50" s="21">
        <f t="shared" si="0"/>
        <v>13</v>
      </c>
      <c r="J50" s="22">
        <v>15</v>
      </c>
      <c r="K50" s="22">
        <f t="shared" si="1"/>
        <v>195</v>
      </c>
    </row>
    <row r="51" spans="6:11">
      <c r="F51" s="11" t="s">
        <v>12</v>
      </c>
      <c r="G51" s="15">
        <v>0.541666666666667</v>
      </c>
      <c r="H51" s="15">
        <v>0.916666666666667</v>
      </c>
      <c r="I51" s="21">
        <f t="shared" si="0"/>
        <v>9</v>
      </c>
      <c r="J51" s="22">
        <v>15</v>
      </c>
      <c r="K51" s="22">
        <f t="shared" si="1"/>
        <v>135</v>
      </c>
    </row>
    <row r="52" spans="6:11">
      <c r="F52" s="11" t="s">
        <v>13</v>
      </c>
      <c r="I52" s="21">
        <f t="shared" si="0"/>
        <v>0</v>
      </c>
      <c r="J52" s="22">
        <v>15</v>
      </c>
      <c r="K52" s="22">
        <f t="shared" si="1"/>
        <v>0</v>
      </c>
    </row>
    <row r="53" spans="5:11">
      <c r="E53" s="69" t="s">
        <v>19</v>
      </c>
      <c r="F53" s="8" t="s">
        <v>8</v>
      </c>
      <c r="G53" s="9">
        <v>0.25</v>
      </c>
      <c r="H53" s="9">
        <v>0.708333333333333</v>
      </c>
      <c r="I53" s="17">
        <f t="shared" ref="I53:I58" si="2">(H53-G53)*24</f>
        <v>11</v>
      </c>
      <c r="J53" s="18">
        <v>15</v>
      </c>
      <c r="K53" s="18">
        <f t="shared" ref="K53:K60" si="3">(J53*I53)</f>
        <v>165</v>
      </c>
    </row>
    <row r="54" spans="6:11">
      <c r="F54" s="11" t="s">
        <v>8</v>
      </c>
      <c r="I54" s="21">
        <f t="shared" si="2"/>
        <v>0</v>
      </c>
      <c r="J54" s="22">
        <v>15</v>
      </c>
      <c r="K54" s="22">
        <f t="shared" si="3"/>
        <v>0</v>
      </c>
    </row>
    <row r="55" spans="6:11">
      <c r="F55" s="11" t="s">
        <v>10</v>
      </c>
      <c r="G55" s="15">
        <v>0.5</v>
      </c>
      <c r="H55" s="15">
        <v>0.708333333333333</v>
      </c>
      <c r="I55" s="21">
        <f t="shared" si="2"/>
        <v>4.99999999999999</v>
      </c>
      <c r="J55" s="22">
        <v>15</v>
      </c>
      <c r="K55" s="22">
        <f t="shared" si="3"/>
        <v>74.9999999999999</v>
      </c>
    </row>
    <row r="56" spans="6:11">
      <c r="F56" s="11" t="s">
        <v>12</v>
      </c>
      <c r="G56" s="15">
        <v>0.25</v>
      </c>
      <c r="H56" s="15">
        <v>0.5</v>
      </c>
      <c r="I56" s="21">
        <f t="shared" si="2"/>
        <v>6</v>
      </c>
      <c r="J56" s="22">
        <v>15</v>
      </c>
      <c r="K56" s="22">
        <f t="shared" si="3"/>
        <v>90</v>
      </c>
    </row>
    <row r="57" spans="6:11">
      <c r="F57" s="11" t="s">
        <v>13</v>
      </c>
      <c r="I57" s="21">
        <f t="shared" ref="I57:I97" si="4">(H57-G57)*24</f>
        <v>0</v>
      </c>
      <c r="J57" s="22">
        <v>15</v>
      </c>
      <c r="K57" s="22">
        <f t="shared" si="3"/>
        <v>0</v>
      </c>
    </row>
    <row r="58" spans="5:11">
      <c r="E58" s="70"/>
      <c r="F58" s="48" t="s">
        <v>14</v>
      </c>
      <c r="G58" s="49">
        <v>0.708333333333333</v>
      </c>
      <c r="H58" s="49">
        <v>0.916666666666667</v>
      </c>
      <c r="I58" s="51">
        <f t="shared" si="4"/>
        <v>5.00000000000001</v>
      </c>
      <c r="J58" s="53">
        <v>15</v>
      </c>
      <c r="K58" s="53">
        <f t="shared" si="3"/>
        <v>75.0000000000002</v>
      </c>
    </row>
    <row r="59" spans="5:11">
      <c r="E59" s="69" t="s">
        <v>20</v>
      </c>
      <c r="F59" s="8" t="s">
        <v>8</v>
      </c>
      <c r="G59" s="9">
        <v>0.708333333333333</v>
      </c>
      <c r="H59" s="9">
        <v>0.895833333333333</v>
      </c>
      <c r="I59" s="17">
        <f t="shared" si="4"/>
        <v>4.5</v>
      </c>
      <c r="J59" s="18">
        <v>15</v>
      </c>
      <c r="K59" s="18">
        <f t="shared" si="3"/>
        <v>67.5</v>
      </c>
    </row>
    <row r="60" spans="6:11">
      <c r="F60" s="11" t="s">
        <v>10</v>
      </c>
      <c r="G60" s="15">
        <v>0.25</v>
      </c>
      <c r="H60" s="15">
        <v>0.5</v>
      </c>
      <c r="I60" s="21">
        <f t="shared" si="4"/>
        <v>6</v>
      </c>
      <c r="J60" s="22">
        <v>15</v>
      </c>
      <c r="K60" s="25">
        <f t="shared" si="3"/>
        <v>90</v>
      </c>
    </row>
    <row r="61" spans="6:11">
      <c r="F61" s="11" t="s">
        <v>12</v>
      </c>
      <c r="G61" s="15">
        <v>0.25</v>
      </c>
      <c r="H61" s="15">
        <v>0.5</v>
      </c>
      <c r="I61" s="21">
        <f t="shared" si="4"/>
        <v>6</v>
      </c>
      <c r="J61" s="22">
        <v>15</v>
      </c>
      <c r="K61" s="25">
        <f t="shared" ref="K61:K91" si="5">(J61*I61)</f>
        <v>90</v>
      </c>
    </row>
    <row r="62" spans="6:11">
      <c r="F62" s="11" t="s">
        <v>13</v>
      </c>
      <c r="G62" s="15">
        <v>0.708333333333333</v>
      </c>
      <c r="H62" s="15">
        <v>0.895833333333333</v>
      </c>
      <c r="I62" s="21">
        <f t="shared" si="4"/>
        <v>4.5</v>
      </c>
      <c r="J62" s="22">
        <v>15</v>
      </c>
      <c r="K62" s="25">
        <f t="shared" si="5"/>
        <v>67.5</v>
      </c>
    </row>
    <row r="63" spans="6:11">
      <c r="F63" s="11" t="s">
        <v>14</v>
      </c>
      <c r="I63" s="21">
        <f t="shared" si="4"/>
        <v>0</v>
      </c>
      <c r="J63" s="22">
        <v>15</v>
      </c>
      <c r="K63" s="25">
        <f t="shared" si="5"/>
        <v>0</v>
      </c>
    </row>
    <row r="64" spans="5:11">
      <c r="E64" s="69" t="s">
        <v>21</v>
      </c>
      <c r="F64" s="8" t="s">
        <v>8</v>
      </c>
      <c r="G64" s="9">
        <v>0.229166666666667</v>
      </c>
      <c r="H64" s="9">
        <v>0.458333333333333</v>
      </c>
      <c r="I64" s="17">
        <f t="shared" si="4"/>
        <v>5.49999999999998</v>
      </c>
      <c r="J64" s="18">
        <v>15</v>
      </c>
      <c r="K64" s="18">
        <f t="shared" si="5"/>
        <v>82.4999999999998</v>
      </c>
    </row>
    <row r="65" spans="6:11">
      <c r="F65" s="11" t="s">
        <v>8</v>
      </c>
      <c r="G65" s="12">
        <v>0.708333333333333</v>
      </c>
      <c r="H65" s="12">
        <v>0.916666666666667</v>
      </c>
      <c r="I65" s="21">
        <f t="shared" si="4"/>
        <v>5.00000000000001</v>
      </c>
      <c r="J65" s="22">
        <v>15</v>
      </c>
      <c r="K65" s="25">
        <f t="shared" si="5"/>
        <v>75.0000000000002</v>
      </c>
    </row>
    <row r="66" spans="6:11">
      <c r="F66" s="11" t="s">
        <v>10</v>
      </c>
      <c r="I66" s="21">
        <f t="shared" si="4"/>
        <v>0</v>
      </c>
      <c r="J66" s="22">
        <v>15</v>
      </c>
      <c r="K66" s="25">
        <f t="shared" si="5"/>
        <v>0</v>
      </c>
    </row>
    <row r="67" spans="6:11">
      <c r="F67" s="11" t="s">
        <v>12</v>
      </c>
      <c r="I67" s="21">
        <f t="shared" si="4"/>
        <v>0</v>
      </c>
      <c r="J67" s="22">
        <v>15</v>
      </c>
      <c r="K67" s="25">
        <f t="shared" si="5"/>
        <v>0</v>
      </c>
    </row>
    <row r="68" spans="6:11">
      <c r="F68" s="11" t="s">
        <v>13</v>
      </c>
      <c r="I68" s="21">
        <f t="shared" si="4"/>
        <v>0</v>
      </c>
      <c r="J68" s="22">
        <v>15</v>
      </c>
      <c r="K68" s="25">
        <f t="shared" si="5"/>
        <v>0</v>
      </c>
    </row>
    <row r="69" spans="6:11">
      <c r="F69" s="11" t="s">
        <v>14</v>
      </c>
      <c r="G69" s="12">
        <v>0.708333333333333</v>
      </c>
      <c r="H69" s="12">
        <v>0.916666666666667</v>
      </c>
      <c r="I69" s="21">
        <f t="shared" si="4"/>
        <v>5.00000000000001</v>
      </c>
      <c r="J69" s="22">
        <v>15</v>
      </c>
      <c r="K69" s="25">
        <f t="shared" si="5"/>
        <v>75.0000000000002</v>
      </c>
    </row>
    <row r="70" spans="5:11">
      <c r="E70" s="69" t="s">
        <v>22</v>
      </c>
      <c r="F70" s="8" t="s">
        <v>8</v>
      </c>
      <c r="G70" s="9">
        <v>0.25</v>
      </c>
      <c r="H70" s="9">
        <v>0.458333333333333</v>
      </c>
      <c r="I70" s="17">
        <f t="shared" si="4"/>
        <v>4.99999999999999</v>
      </c>
      <c r="J70" s="18">
        <v>15</v>
      </c>
      <c r="K70" s="18">
        <f t="shared" si="5"/>
        <v>74.9999999999999</v>
      </c>
    </row>
    <row r="71" spans="6:11">
      <c r="F71" s="11" t="s">
        <v>10</v>
      </c>
      <c r="I71" s="21">
        <f t="shared" si="4"/>
        <v>0</v>
      </c>
      <c r="J71" s="22">
        <v>15</v>
      </c>
      <c r="K71" s="25">
        <f t="shared" si="5"/>
        <v>0</v>
      </c>
    </row>
    <row r="72" spans="6:11">
      <c r="F72" s="11" t="s">
        <v>12</v>
      </c>
      <c r="G72" s="15">
        <v>0.25</v>
      </c>
      <c r="H72" s="15">
        <v>0.5</v>
      </c>
      <c r="I72" s="21">
        <f t="shared" si="4"/>
        <v>6</v>
      </c>
      <c r="J72" s="22">
        <v>15</v>
      </c>
      <c r="K72" s="25">
        <f t="shared" si="5"/>
        <v>90</v>
      </c>
    </row>
    <row r="73" spans="6:11">
      <c r="F73" s="11" t="s">
        <v>13</v>
      </c>
      <c r="G73" s="15">
        <v>0.708333333333333</v>
      </c>
      <c r="H73" s="15">
        <v>0.895833333333333</v>
      </c>
      <c r="I73" s="21">
        <f t="shared" si="4"/>
        <v>4.5</v>
      </c>
      <c r="J73" s="22">
        <v>15</v>
      </c>
      <c r="K73" s="25">
        <f t="shared" si="5"/>
        <v>67.5</v>
      </c>
    </row>
    <row r="74" spans="6:11">
      <c r="F74" s="11" t="s">
        <v>14</v>
      </c>
      <c r="G74" s="15">
        <v>0.5</v>
      </c>
      <c r="H74" s="15">
        <v>0.895833333333333</v>
      </c>
      <c r="I74" s="21">
        <f t="shared" si="4"/>
        <v>9.49999999999999</v>
      </c>
      <c r="J74" s="22">
        <v>15</v>
      </c>
      <c r="K74" s="25">
        <f t="shared" si="5"/>
        <v>142.5</v>
      </c>
    </row>
    <row r="75" spans="5:11">
      <c r="E75" s="69" t="s">
        <v>23</v>
      </c>
      <c r="F75" s="8" t="s">
        <v>8</v>
      </c>
      <c r="G75" s="9">
        <v>0.25</v>
      </c>
      <c r="H75" s="9">
        <v>0.458333333333333</v>
      </c>
      <c r="I75" s="17">
        <f t="shared" si="4"/>
        <v>4.99999999999999</v>
      </c>
      <c r="J75" s="18">
        <v>15</v>
      </c>
      <c r="K75" s="18">
        <f t="shared" si="5"/>
        <v>74.9999999999999</v>
      </c>
    </row>
    <row r="76" spans="6:11">
      <c r="F76" s="11" t="s">
        <v>8</v>
      </c>
      <c r="G76" s="12">
        <v>0.708333333333333</v>
      </c>
      <c r="H76" s="12">
        <v>0.916666666666667</v>
      </c>
      <c r="I76" s="24">
        <f t="shared" si="4"/>
        <v>5.00000000000001</v>
      </c>
      <c r="J76" s="25">
        <v>15</v>
      </c>
      <c r="K76" s="25">
        <f t="shared" si="5"/>
        <v>75.0000000000002</v>
      </c>
    </row>
    <row r="77" spans="6:11">
      <c r="F77" s="11" t="s">
        <v>10</v>
      </c>
      <c r="I77" s="21">
        <f t="shared" si="4"/>
        <v>0</v>
      </c>
      <c r="J77" s="22">
        <v>15</v>
      </c>
      <c r="K77" s="25">
        <f t="shared" si="5"/>
        <v>0</v>
      </c>
    </row>
    <row r="78" spans="6:11">
      <c r="F78" s="11" t="s">
        <v>12</v>
      </c>
      <c r="G78" s="15">
        <v>0.25</v>
      </c>
      <c r="H78" s="15">
        <v>0.5</v>
      </c>
      <c r="I78" s="21">
        <f t="shared" si="4"/>
        <v>6</v>
      </c>
      <c r="J78" s="22">
        <v>15</v>
      </c>
      <c r="K78" s="25">
        <f t="shared" si="5"/>
        <v>90</v>
      </c>
    </row>
    <row r="79" spans="6:11">
      <c r="F79" s="11" t="s">
        <v>13</v>
      </c>
      <c r="G79" s="15">
        <v>0.5</v>
      </c>
      <c r="H79" s="15">
        <v>0.708333333333333</v>
      </c>
      <c r="I79" s="21">
        <f t="shared" si="4"/>
        <v>4.99999999999999</v>
      </c>
      <c r="J79" s="22">
        <v>15</v>
      </c>
      <c r="K79" s="25">
        <f t="shared" si="5"/>
        <v>74.9999999999999</v>
      </c>
    </row>
    <row r="80" spans="6:11">
      <c r="F80" s="11" t="s">
        <v>14</v>
      </c>
      <c r="G80" s="12">
        <v>0.75</v>
      </c>
      <c r="H80" s="12">
        <v>0.916666666666667</v>
      </c>
      <c r="I80" s="21">
        <f t="shared" si="4"/>
        <v>4.00000000000001</v>
      </c>
      <c r="J80" s="22">
        <v>15</v>
      </c>
      <c r="K80" s="25">
        <f t="shared" si="5"/>
        <v>60.0000000000001</v>
      </c>
    </row>
    <row r="81" spans="5:11">
      <c r="E81" s="69" t="s">
        <v>24</v>
      </c>
      <c r="F81" s="8" t="s">
        <v>8</v>
      </c>
      <c r="G81" s="9">
        <v>0.708333333333333</v>
      </c>
      <c r="H81" s="9">
        <v>0.833333333333333</v>
      </c>
      <c r="I81" s="17">
        <f t="shared" si="4"/>
        <v>3</v>
      </c>
      <c r="J81" s="18">
        <v>15</v>
      </c>
      <c r="K81" s="18">
        <f t="shared" si="5"/>
        <v>45</v>
      </c>
    </row>
    <row r="82" spans="6:11">
      <c r="F82" s="11" t="s">
        <v>8</v>
      </c>
      <c r="G82" s="12">
        <v>0.25</v>
      </c>
      <c r="H82" s="12">
        <v>0.354166666666667</v>
      </c>
      <c r="I82" s="24">
        <f t="shared" si="4"/>
        <v>2.50000000000001</v>
      </c>
      <c r="J82" s="22">
        <v>15</v>
      </c>
      <c r="K82" s="25">
        <f t="shared" si="5"/>
        <v>37.5000000000001</v>
      </c>
    </row>
    <row r="83" spans="6:11">
      <c r="F83" s="11" t="s">
        <v>10</v>
      </c>
      <c r="I83" s="21">
        <f t="shared" si="4"/>
        <v>0</v>
      </c>
      <c r="J83" s="22">
        <v>15</v>
      </c>
      <c r="K83" s="25">
        <f t="shared" si="5"/>
        <v>0</v>
      </c>
    </row>
    <row r="84" spans="6:11">
      <c r="F84" s="11" t="s">
        <v>12</v>
      </c>
      <c r="I84" s="21">
        <f t="shared" si="4"/>
        <v>0</v>
      </c>
      <c r="J84" s="22">
        <v>15</v>
      </c>
      <c r="K84" s="25">
        <f t="shared" si="5"/>
        <v>0</v>
      </c>
    </row>
    <row r="85" spans="6:11">
      <c r="F85" s="11" t="s">
        <v>13</v>
      </c>
      <c r="G85" s="15">
        <v>0.5</v>
      </c>
      <c r="H85" s="15">
        <v>0.708333333333333</v>
      </c>
      <c r="I85" s="21">
        <f t="shared" si="4"/>
        <v>4.99999999999999</v>
      </c>
      <c r="J85" s="22">
        <v>15</v>
      </c>
      <c r="K85" s="25">
        <f t="shared" si="5"/>
        <v>74.9999999999999</v>
      </c>
    </row>
    <row r="86" spans="6:11">
      <c r="F86" s="11" t="s">
        <v>14</v>
      </c>
      <c r="G86" s="12">
        <v>0.5</v>
      </c>
      <c r="H86" s="12">
        <v>0.833333333333333</v>
      </c>
      <c r="I86" s="21">
        <f t="shared" si="4"/>
        <v>7.99999999999999</v>
      </c>
      <c r="J86" s="22">
        <v>15</v>
      </c>
      <c r="K86" s="25">
        <f t="shared" si="5"/>
        <v>120</v>
      </c>
    </row>
    <row r="87" spans="5:11">
      <c r="E87" s="69" t="s">
        <v>25</v>
      </c>
      <c r="F87" s="8" t="s">
        <v>8</v>
      </c>
      <c r="G87" s="8"/>
      <c r="H87" s="8"/>
      <c r="I87" s="17">
        <f t="shared" si="4"/>
        <v>0</v>
      </c>
      <c r="J87" s="18">
        <v>15</v>
      </c>
      <c r="K87" s="18">
        <f t="shared" si="5"/>
        <v>0</v>
      </c>
    </row>
    <row r="88" spans="5:11">
      <c r="E88" s="62" t="s">
        <v>16</v>
      </c>
      <c r="F88" s="11" t="s">
        <v>10</v>
      </c>
      <c r="G88" s="15">
        <v>0.270833333333333</v>
      </c>
      <c r="H88" s="15">
        <v>0.916666666666667</v>
      </c>
      <c r="I88" s="21">
        <f t="shared" si="4"/>
        <v>15.5</v>
      </c>
      <c r="J88" s="22">
        <v>15</v>
      </c>
      <c r="K88" s="25">
        <f t="shared" si="5"/>
        <v>232.5</v>
      </c>
    </row>
    <row r="89" spans="6:11">
      <c r="F89" s="11" t="s">
        <v>12</v>
      </c>
      <c r="G89" s="15">
        <v>0.25</v>
      </c>
      <c r="H89" s="15">
        <v>0.5</v>
      </c>
      <c r="I89" s="21">
        <f t="shared" si="4"/>
        <v>6</v>
      </c>
      <c r="J89" s="22">
        <v>15</v>
      </c>
      <c r="K89" s="25">
        <f t="shared" si="5"/>
        <v>90</v>
      </c>
    </row>
    <row r="90" spans="6:11">
      <c r="F90" s="11" t="s">
        <v>13</v>
      </c>
      <c r="I90" s="21">
        <f t="shared" si="4"/>
        <v>0</v>
      </c>
      <c r="J90" s="22">
        <v>15</v>
      </c>
      <c r="K90" s="25">
        <f t="shared" si="5"/>
        <v>0</v>
      </c>
    </row>
    <row r="91" spans="6:11">
      <c r="F91" s="11" t="s">
        <v>14</v>
      </c>
      <c r="G91" s="12">
        <v>0.5</v>
      </c>
      <c r="H91" s="12">
        <v>0.916666666666667</v>
      </c>
      <c r="I91" s="21">
        <f t="shared" si="4"/>
        <v>10</v>
      </c>
      <c r="J91" s="22">
        <v>15</v>
      </c>
      <c r="K91" s="25">
        <f t="shared" si="5"/>
        <v>150</v>
      </c>
    </row>
    <row r="92" spans="5:11">
      <c r="E92" s="69" t="s">
        <v>26</v>
      </c>
      <c r="F92" s="8" t="s">
        <v>8</v>
      </c>
      <c r="G92" s="9">
        <v>0.5</v>
      </c>
      <c r="H92" s="9">
        <v>0.916666666666667</v>
      </c>
      <c r="I92" s="17">
        <f t="shared" si="4"/>
        <v>10</v>
      </c>
      <c r="J92" s="18">
        <v>15</v>
      </c>
      <c r="K92" s="18">
        <f t="shared" ref="K92:K143" si="6">(J92*I92)</f>
        <v>150</v>
      </c>
    </row>
    <row r="93" spans="6:11">
      <c r="F93" s="11" t="s">
        <v>10</v>
      </c>
      <c r="I93" s="21">
        <f t="shared" si="4"/>
        <v>0</v>
      </c>
      <c r="J93" s="22">
        <v>15</v>
      </c>
      <c r="K93" s="25">
        <f t="shared" si="6"/>
        <v>0</v>
      </c>
    </row>
    <row r="94" spans="6:11">
      <c r="F94" s="11" t="s">
        <v>12</v>
      </c>
      <c r="G94" s="15">
        <v>0.25</v>
      </c>
      <c r="H94" s="15">
        <v>0.916666666666667</v>
      </c>
      <c r="I94" s="21">
        <f t="shared" si="4"/>
        <v>16</v>
      </c>
      <c r="J94" s="22">
        <v>15</v>
      </c>
      <c r="K94" s="25">
        <f t="shared" si="6"/>
        <v>240</v>
      </c>
    </row>
    <row r="95" spans="6:11">
      <c r="F95" s="11" t="s">
        <v>13</v>
      </c>
      <c r="I95" s="21">
        <f t="shared" si="4"/>
        <v>0</v>
      </c>
      <c r="J95" s="22">
        <v>15</v>
      </c>
      <c r="K95" s="25">
        <f t="shared" si="6"/>
        <v>0</v>
      </c>
    </row>
    <row r="96" spans="6:11">
      <c r="F96" s="11" t="s">
        <v>14</v>
      </c>
      <c r="G96" s="12">
        <v>0.708333333333333</v>
      </c>
      <c r="H96" s="12">
        <v>0.916666666666667</v>
      </c>
      <c r="I96" s="21">
        <f t="shared" si="4"/>
        <v>5.00000000000001</v>
      </c>
      <c r="J96" s="22">
        <v>15</v>
      </c>
      <c r="K96" s="25">
        <f t="shared" si="6"/>
        <v>75.0000000000001</v>
      </c>
    </row>
    <row r="97" spans="5:11">
      <c r="E97" s="70"/>
      <c r="F97" s="48" t="s">
        <v>9</v>
      </c>
      <c r="G97" s="49">
        <v>0.25</v>
      </c>
      <c r="H97" s="49">
        <v>0.708333333333333</v>
      </c>
      <c r="I97" s="51">
        <f t="shared" si="4"/>
        <v>11</v>
      </c>
      <c r="J97" s="53">
        <v>15</v>
      </c>
      <c r="K97" s="53">
        <f t="shared" si="6"/>
        <v>165</v>
      </c>
    </row>
    <row r="98" spans="5:11">
      <c r="E98" s="69" t="s">
        <v>27</v>
      </c>
      <c r="F98" s="8" t="s">
        <v>8</v>
      </c>
      <c r="G98" s="9">
        <v>0.708333333333333</v>
      </c>
      <c r="H98" s="9">
        <v>0.916666666666667</v>
      </c>
      <c r="I98" s="17">
        <f t="shared" ref="I98:I143" si="7">(H98-G98)*24</f>
        <v>5.00000000000001</v>
      </c>
      <c r="J98" s="18">
        <v>15</v>
      </c>
      <c r="K98" s="18">
        <f t="shared" si="6"/>
        <v>75.0000000000002</v>
      </c>
    </row>
    <row r="99" spans="6:11">
      <c r="F99" s="11" t="s">
        <v>10</v>
      </c>
      <c r="G99" s="15">
        <v>0.25</v>
      </c>
      <c r="H99" s="15">
        <v>0.4375</v>
      </c>
      <c r="I99" s="21">
        <f t="shared" si="7"/>
        <v>4.5</v>
      </c>
      <c r="J99" s="22">
        <v>15</v>
      </c>
      <c r="K99" s="25">
        <f t="shared" si="6"/>
        <v>67.5</v>
      </c>
    </row>
    <row r="100" spans="6:11">
      <c r="F100" s="11" t="s">
        <v>12</v>
      </c>
      <c r="G100" s="15">
        <v>0.25</v>
      </c>
      <c r="H100" s="15">
        <v>0.458333333333333</v>
      </c>
      <c r="I100" s="21">
        <f t="shared" si="7"/>
        <v>4.99999999999999</v>
      </c>
      <c r="J100" s="22">
        <v>15</v>
      </c>
      <c r="K100" s="25">
        <f t="shared" si="6"/>
        <v>74.9999999999999</v>
      </c>
    </row>
    <row r="101" spans="6:11">
      <c r="F101" s="11" t="s">
        <v>13</v>
      </c>
      <c r="G101" s="12">
        <v>0.708333333333333</v>
      </c>
      <c r="H101" s="12">
        <v>0.916666666666667</v>
      </c>
      <c r="I101" s="21">
        <f t="shared" si="7"/>
        <v>5.00000000000001</v>
      </c>
      <c r="J101" s="22">
        <v>15</v>
      </c>
      <c r="K101" s="25">
        <f t="shared" si="6"/>
        <v>75.0000000000002</v>
      </c>
    </row>
    <row r="102" spans="6:11">
      <c r="F102" s="11" t="s">
        <v>14</v>
      </c>
      <c r="I102" s="21">
        <f t="shared" si="7"/>
        <v>0</v>
      </c>
      <c r="J102" s="22">
        <v>15</v>
      </c>
      <c r="K102" s="25">
        <f t="shared" si="6"/>
        <v>0</v>
      </c>
    </row>
    <row r="103" spans="6:11">
      <c r="F103" s="11" t="s">
        <v>9</v>
      </c>
      <c r="G103" s="15">
        <v>0.5</v>
      </c>
      <c r="H103" s="15">
        <v>0.708333333333333</v>
      </c>
      <c r="I103" s="21">
        <f t="shared" si="7"/>
        <v>4.99999999999999</v>
      </c>
      <c r="J103" s="22">
        <v>15</v>
      </c>
      <c r="K103" s="25">
        <f t="shared" si="6"/>
        <v>74.9999999999999</v>
      </c>
    </row>
    <row r="104" spans="6:11">
      <c r="F104" s="11" t="s">
        <v>11</v>
      </c>
      <c r="I104" s="21">
        <f t="shared" si="7"/>
        <v>0</v>
      </c>
      <c r="J104" s="22">
        <v>15</v>
      </c>
      <c r="K104" s="25">
        <f t="shared" si="6"/>
        <v>0</v>
      </c>
    </row>
    <row r="105" spans="5:11">
      <c r="E105" s="69" t="s">
        <v>28</v>
      </c>
      <c r="F105" s="8" t="s">
        <v>8</v>
      </c>
      <c r="G105" s="9">
        <v>0.25</v>
      </c>
      <c r="H105" s="9">
        <v>0.458333333333333</v>
      </c>
      <c r="I105" s="17">
        <f t="shared" si="7"/>
        <v>4.99999999999999</v>
      </c>
      <c r="J105" s="18">
        <v>15</v>
      </c>
      <c r="K105" s="18">
        <f t="shared" si="6"/>
        <v>74.9999999999999</v>
      </c>
    </row>
    <row r="106" spans="6:11">
      <c r="F106" s="11" t="s">
        <v>10</v>
      </c>
      <c r="I106" s="21">
        <f t="shared" si="7"/>
        <v>0</v>
      </c>
      <c r="J106" s="22">
        <v>15</v>
      </c>
      <c r="K106" s="25">
        <f t="shared" si="6"/>
        <v>0</v>
      </c>
    </row>
    <row r="107" spans="6:11">
      <c r="F107" s="11" t="s">
        <v>12</v>
      </c>
      <c r="G107" s="12">
        <v>0.708333333333333</v>
      </c>
      <c r="H107" s="12">
        <v>0.895833333333333</v>
      </c>
      <c r="I107" s="21">
        <f t="shared" si="7"/>
        <v>4.5</v>
      </c>
      <c r="J107" s="22">
        <v>15</v>
      </c>
      <c r="K107" s="25">
        <f t="shared" si="6"/>
        <v>67.5</v>
      </c>
    </row>
    <row r="108" spans="6:11">
      <c r="F108" s="11" t="s">
        <v>13</v>
      </c>
      <c r="I108" s="21">
        <f t="shared" si="7"/>
        <v>0</v>
      </c>
      <c r="J108" s="22">
        <v>15</v>
      </c>
      <c r="K108" s="25">
        <f t="shared" si="6"/>
        <v>0</v>
      </c>
    </row>
    <row r="109" spans="6:11">
      <c r="F109" s="11" t="s">
        <v>14</v>
      </c>
      <c r="I109" s="21">
        <f t="shared" si="7"/>
        <v>0</v>
      </c>
      <c r="J109" s="22">
        <v>15</v>
      </c>
      <c r="K109" s="25">
        <f t="shared" si="6"/>
        <v>0</v>
      </c>
    </row>
    <row r="110" spans="6:11">
      <c r="F110" s="11" t="s">
        <v>9</v>
      </c>
      <c r="G110" s="15">
        <v>0.25</v>
      </c>
      <c r="H110" s="15">
        <v>0.708333333333333</v>
      </c>
      <c r="I110" s="21">
        <f t="shared" si="7"/>
        <v>11</v>
      </c>
      <c r="J110" s="22">
        <v>15</v>
      </c>
      <c r="K110" s="25">
        <f t="shared" si="6"/>
        <v>165</v>
      </c>
    </row>
    <row r="111" spans="5:11">
      <c r="E111" s="69" t="s">
        <v>29</v>
      </c>
      <c r="F111" s="8" t="s">
        <v>8</v>
      </c>
      <c r="G111" s="8"/>
      <c r="H111" s="8"/>
      <c r="I111" s="17">
        <f t="shared" si="7"/>
        <v>0</v>
      </c>
      <c r="J111" s="18">
        <v>15</v>
      </c>
      <c r="K111" s="18">
        <f t="shared" si="6"/>
        <v>0</v>
      </c>
    </row>
    <row r="112" spans="6:11">
      <c r="F112" s="11" t="s">
        <v>10</v>
      </c>
      <c r="G112" s="15">
        <v>0.25</v>
      </c>
      <c r="H112" s="15">
        <v>0.4375</v>
      </c>
      <c r="I112" s="21">
        <f t="shared" si="7"/>
        <v>4.5</v>
      </c>
      <c r="J112" s="22">
        <v>15</v>
      </c>
      <c r="K112" s="25">
        <f t="shared" si="6"/>
        <v>67.5</v>
      </c>
    </row>
    <row r="113" spans="6:11">
      <c r="F113" s="11" t="s">
        <v>12</v>
      </c>
      <c r="G113" s="15">
        <v>0.25</v>
      </c>
      <c r="H113" s="15">
        <v>0.5</v>
      </c>
      <c r="I113" s="21">
        <f t="shared" si="7"/>
        <v>6</v>
      </c>
      <c r="J113" s="22">
        <v>15</v>
      </c>
      <c r="K113" s="25">
        <f t="shared" si="6"/>
        <v>90</v>
      </c>
    </row>
    <row r="114" spans="6:11">
      <c r="F114" s="11" t="s">
        <v>13</v>
      </c>
      <c r="G114" s="15">
        <v>0.708333333333333</v>
      </c>
      <c r="H114" s="15">
        <v>0.916666666666667</v>
      </c>
      <c r="I114" s="21">
        <f t="shared" si="7"/>
        <v>5.00000000000001</v>
      </c>
      <c r="J114" s="22">
        <v>15</v>
      </c>
      <c r="K114" s="25">
        <f t="shared" si="6"/>
        <v>75.0000000000002</v>
      </c>
    </row>
    <row r="115" spans="6:11">
      <c r="F115" s="11" t="s">
        <v>14</v>
      </c>
      <c r="G115" s="12">
        <v>0.5</v>
      </c>
      <c r="H115" s="12">
        <v>0.916666666666667</v>
      </c>
      <c r="I115" s="21">
        <f t="shared" si="7"/>
        <v>10</v>
      </c>
      <c r="J115" s="22">
        <v>15</v>
      </c>
      <c r="K115" s="25">
        <f t="shared" si="6"/>
        <v>150</v>
      </c>
    </row>
    <row r="116" spans="6:11">
      <c r="F116" s="11" t="s">
        <v>9</v>
      </c>
      <c r="I116" s="21">
        <f t="shared" si="7"/>
        <v>0</v>
      </c>
      <c r="J116" s="22">
        <v>15</v>
      </c>
      <c r="K116" s="25">
        <f t="shared" si="6"/>
        <v>0</v>
      </c>
    </row>
    <row r="117" spans="5:11">
      <c r="E117" s="69" t="s">
        <v>30</v>
      </c>
      <c r="F117" s="8" t="s">
        <v>8</v>
      </c>
      <c r="G117" s="9">
        <v>0.708333333333333</v>
      </c>
      <c r="H117" s="9">
        <v>0.916666666666667</v>
      </c>
      <c r="I117" s="17">
        <f t="shared" si="7"/>
        <v>5.00000000000001</v>
      </c>
      <c r="J117" s="18">
        <v>15</v>
      </c>
      <c r="K117" s="18">
        <f t="shared" si="6"/>
        <v>75.0000000000002</v>
      </c>
    </row>
    <row r="118" spans="6:11">
      <c r="F118" s="11" t="s">
        <v>8</v>
      </c>
      <c r="G118" s="15">
        <v>0.25</v>
      </c>
      <c r="H118" s="15">
        <v>0.458333333333333</v>
      </c>
      <c r="I118" s="24">
        <f t="shared" si="7"/>
        <v>4.99999999999999</v>
      </c>
      <c r="J118" s="25">
        <v>15</v>
      </c>
      <c r="K118" s="25">
        <f t="shared" si="6"/>
        <v>74.9999999999999</v>
      </c>
    </row>
    <row r="119" spans="6:11">
      <c r="F119" s="11" t="s">
        <v>10</v>
      </c>
      <c r="I119" s="21">
        <f t="shared" si="7"/>
        <v>0</v>
      </c>
      <c r="J119" s="22">
        <v>15</v>
      </c>
      <c r="K119" s="25">
        <f t="shared" si="6"/>
        <v>0</v>
      </c>
    </row>
    <row r="120" spans="6:11">
      <c r="F120" s="11" t="s">
        <v>12</v>
      </c>
      <c r="G120" s="15">
        <v>0.25</v>
      </c>
      <c r="H120" s="15">
        <v>0.5</v>
      </c>
      <c r="I120" s="21">
        <f t="shared" si="7"/>
        <v>6</v>
      </c>
      <c r="J120" s="22">
        <v>15</v>
      </c>
      <c r="K120" s="25">
        <f t="shared" si="6"/>
        <v>90</v>
      </c>
    </row>
    <row r="121" spans="6:11">
      <c r="F121" s="11" t="s">
        <v>13</v>
      </c>
      <c r="G121" s="15">
        <v>0.5</v>
      </c>
      <c r="H121" s="15">
        <v>0.708333333333333</v>
      </c>
      <c r="I121" s="21">
        <f t="shared" si="7"/>
        <v>4.99999999999999</v>
      </c>
      <c r="J121" s="22">
        <v>15</v>
      </c>
      <c r="K121" s="25">
        <f t="shared" si="6"/>
        <v>74.9999999999999</v>
      </c>
    </row>
    <row r="122" spans="6:11">
      <c r="F122" s="11" t="s">
        <v>14</v>
      </c>
      <c r="G122" s="15">
        <v>0.75</v>
      </c>
      <c r="H122" s="15">
        <v>0.916666666666667</v>
      </c>
      <c r="I122" s="21">
        <f t="shared" si="7"/>
        <v>4.00000000000001</v>
      </c>
      <c r="J122" s="22">
        <v>15</v>
      </c>
      <c r="K122" s="25">
        <f t="shared" si="6"/>
        <v>60.0000000000001</v>
      </c>
    </row>
    <row r="123" spans="6:11">
      <c r="F123" s="11" t="s">
        <v>9</v>
      </c>
      <c r="G123" s="15">
        <v>0.25</v>
      </c>
      <c r="H123" s="15">
        <v>0.708333333333333</v>
      </c>
      <c r="I123" s="21">
        <f t="shared" si="7"/>
        <v>11</v>
      </c>
      <c r="J123" s="22">
        <v>15</v>
      </c>
      <c r="K123" s="25">
        <f t="shared" si="6"/>
        <v>165</v>
      </c>
    </row>
    <row r="124" spans="5:11">
      <c r="E124" s="69" t="s">
        <v>31</v>
      </c>
      <c r="F124" s="8" t="s">
        <v>8</v>
      </c>
      <c r="G124" s="9">
        <v>0.25</v>
      </c>
      <c r="H124" s="9">
        <v>0.354166666666667</v>
      </c>
      <c r="I124" s="17">
        <f t="shared" si="7"/>
        <v>2.5</v>
      </c>
      <c r="J124" s="18">
        <v>15</v>
      </c>
      <c r="K124" s="18">
        <f t="shared" si="6"/>
        <v>37.5</v>
      </c>
    </row>
    <row r="125" spans="6:11">
      <c r="F125" s="11" t="s">
        <v>10</v>
      </c>
      <c r="G125" s="15">
        <v>0.25</v>
      </c>
      <c r="H125" s="15">
        <v>0.4375</v>
      </c>
      <c r="I125" s="21">
        <f t="shared" si="7"/>
        <v>4.5</v>
      </c>
      <c r="J125" s="22">
        <v>15</v>
      </c>
      <c r="K125" s="25">
        <f t="shared" si="6"/>
        <v>67.5</v>
      </c>
    </row>
    <row r="126" spans="6:11">
      <c r="F126" s="11" t="s">
        <v>12</v>
      </c>
      <c r="G126" s="15">
        <v>0.708333333333333</v>
      </c>
      <c r="H126" s="15">
        <v>0.916666666666667</v>
      </c>
      <c r="I126" s="21">
        <f t="shared" si="7"/>
        <v>5</v>
      </c>
      <c r="J126" s="22">
        <v>15</v>
      </c>
      <c r="K126" s="25">
        <f t="shared" si="6"/>
        <v>75</v>
      </c>
    </row>
    <row r="127" spans="6:11">
      <c r="F127" s="11" t="s">
        <v>13</v>
      </c>
      <c r="G127" s="15">
        <v>0.5</v>
      </c>
      <c r="H127" s="15">
        <v>0.708333333333333</v>
      </c>
      <c r="I127" s="21">
        <f t="shared" si="7"/>
        <v>4.99999999999999</v>
      </c>
      <c r="J127" s="22">
        <v>15</v>
      </c>
      <c r="K127" s="25">
        <f t="shared" si="6"/>
        <v>74.9999999999999</v>
      </c>
    </row>
    <row r="128" spans="6:11">
      <c r="F128" s="11" t="s">
        <v>14</v>
      </c>
      <c r="G128" s="15">
        <v>0.5</v>
      </c>
      <c r="H128" s="15">
        <v>0.916666666666667</v>
      </c>
      <c r="I128" s="21">
        <f t="shared" si="7"/>
        <v>10</v>
      </c>
      <c r="J128" s="22">
        <v>15</v>
      </c>
      <c r="K128" s="25">
        <f t="shared" si="6"/>
        <v>150</v>
      </c>
    </row>
    <row r="129" spans="6:11">
      <c r="F129" s="11" t="s">
        <v>9</v>
      </c>
      <c r="G129" s="15">
        <v>0.25</v>
      </c>
      <c r="H129" s="15">
        <v>0.5</v>
      </c>
      <c r="I129" s="21">
        <f t="shared" si="7"/>
        <v>6</v>
      </c>
      <c r="J129" s="22">
        <v>15</v>
      </c>
      <c r="K129" s="25">
        <f t="shared" si="6"/>
        <v>90</v>
      </c>
    </row>
    <row r="130" spans="5:11">
      <c r="E130" s="71">
        <v>45660</v>
      </c>
      <c r="F130" s="8" t="s">
        <v>8</v>
      </c>
      <c r="G130" s="9">
        <v>0.25</v>
      </c>
      <c r="H130" s="9">
        <v>0.5</v>
      </c>
      <c r="I130" s="17">
        <f t="shared" si="7"/>
        <v>6</v>
      </c>
      <c r="J130" s="18">
        <v>15</v>
      </c>
      <c r="K130" s="18">
        <f t="shared" si="6"/>
        <v>90</v>
      </c>
    </row>
    <row r="131" spans="6:11">
      <c r="F131" s="11" t="s">
        <v>10</v>
      </c>
      <c r="I131" s="21">
        <f t="shared" si="7"/>
        <v>0</v>
      </c>
      <c r="J131" s="22">
        <v>15</v>
      </c>
      <c r="K131" s="25">
        <f t="shared" si="6"/>
        <v>0</v>
      </c>
    </row>
    <row r="132" spans="6:11">
      <c r="F132" s="11" t="s">
        <v>12</v>
      </c>
      <c r="G132" s="15">
        <v>0.5</v>
      </c>
      <c r="H132" s="15">
        <v>0.708333333333333</v>
      </c>
      <c r="I132" s="21">
        <f t="shared" si="7"/>
        <v>4.99999999999999</v>
      </c>
      <c r="J132" s="22">
        <v>15</v>
      </c>
      <c r="K132" s="25">
        <f t="shared" si="6"/>
        <v>74.9999999999999</v>
      </c>
    </row>
    <row r="133" spans="6:11">
      <c r="F133" s="11" t="s">
        <v>13</v>
      </c>
      <c r="I133" s="21">
        <f t="shared" si="7"/>
        <v>0</v>
      </c>
      <c r="J133" s="22">
        <v>15</v>
      </c>
      <c r="K133" s="25">
        <f t="shared" si="6"/>
        <v>0</v>
      </c>
    </row>
    <row r="134" spans="6:11">
      <c r="F134" s="11" t="s">
        <v>14</v>
      </c>
      <c r="G134" s="15">
        <v>0.5</v>
      </c>
      <c r="H134" s="15">
        <v>0.916666666666667</v>
      </c>
      <c r="I134" s="21">
        <f t="shared" si="7"/>
        <v>10</v>
      </c>
      <c r="J134" s="22">
        <v>15</v>
      </c>
      <c r="K134" s="25">
        <f t="shared" si="6"/>
        <v>150</v>
      </c>
    </row>
    <row r="135" spans="6:11">
      <c r="F135" s="11" t="s">
        <v>9</v>
      </c>
      <c r="I135" s="21">
        <f t="shared" si="7"/>
        <v>0</v>
      </c>
      <c r="J135" s="22">
        <v>15</v>
      </c>
      <c r="K135" s="25">
        <f t="shared" si="6"/>
        <v>0</v>
      </c>
    </row>
    <row r="136" spans="5:11">
      <c r="E136" s="71">
        <v>45691</v>
      </c>
      <c r="F136" s="8" t="s">
        <v>8</v>
      </c>
      <c r="G136" s="9">
        <v>0.25</v>
      </c>
      <c r="H136" s="9">
        <v>0.916666666666667</v>
      </c>
      <c r="I136" s="17">
        <f t="shared" si="7"/>
        <v>16</v>
      </c>
      <c r="J136" s="18">
        <v>15</v>
      </c>
      <c r="K136" s="18">
        <f t="shared" si="6"/>
        <v>240</v>
      </c>
    </row>
    <row r="137" spans="6:11">
      <c r="F137" s="11" t="s">
        <v>10</v>
      </c>
      <c r="I137" s="21">
        <f t="shared" si="7"/>
        <v>0</v>
      </c>
      <c r="J137" s="22">
        <v>15</v>
      </c>
      <c r="K137" s="25">
        <f t="shared" si="6"/>
        <v>0</v>
      </c>
    </row>
    <row r="138" spans="6:11">
      <c r="F138" s="11" t="s">
        <v>12</v>
      </c>
      <c r="G138" s="15">
        <v>0.25</v>
      </c>
      <c r="H138" s="15">
        <v>0.916666666666667</v>
      </c>
      <c r="I138" s="21">
        <f t="shared" si="7"/>
        <v>16</v>
      </c>
      <c r="J138" s="22">
        <v>15</v>
      </c>
      <c r="K138" s="25">
        <f t="shared" si="6"/>
        <v>240</v>
      </c>
    </row>
    <row r="139" spans="6:11">
      <c r="F139" s="11" t="s">
        <v>13</v>
      </c>
      <c r="I139" s="21">
        <f t="shared" si="7"/>
        <v>0</v>
      </c>
      <c r="J139" s="22">
        <v>15</v>
      </c>
      <c r="K139" s="25">
        <f t="shared" si="6"/>
        <v>0</v>
      </c>
    </row>
    <row r="140" spans="6:11">
      <c r="F140" s="11" t="s">
        <v>14</v>
      </c>
      <c r="I140" s="21">
        <f t="shared" si="7"/>
        <v>0</v>
      </c>
      <c r="J140" s="22">
        <v>15</v>
      </c>
      <c r="K140" s="25">
        <f t="shared" si="6"/>
        <v>0</v>
      </c>
    </row>
    <row r="141" spans="6:11">
      <c r="F141" s="11" t="s">
        <v>9</v>
      </c>
      <c r="I141" s="21">
        <f t="shared" si="7"/>
        <v>0</v>
      </c>
      <c r="J141" s="22">
        <v>15</v>
      </c>
      <c r="K141" s="25">
        <f t="shared" si="6"/>
        <v>0</v>
      </c>
    </row>
    <row r="142" spans="5:11">
      <c r="E142" s="71">
        <v>45719</v>
      </c>
      <c r="F142" s="8" t="s">
        <v>8</v>
      </c>
      <c r="G142" s="9">
        <v>0.708333333333333</v>
      </c>
      <c r="H142" s="9">
        <v>0.916666666666667</v>
      </c>
      <c r="I142" s="17">
        <f t="shared" si="7"/>
        <v>5.00000000000001</v>
      </c>
      <c r="J142" s="18">
        <v>15</v>
      </c>
      <c r="K142" s="18">
        <f t="shared" si="6"/>
        <v>75.0000000000002</v>
      </c>
    </row>
    <row r="143" spans="5:11">
      <c r="E143" s="62" t="s">
        <v>32</v>
      </c>
      <c r="F143" s="11" t="s">
        <v>10</v>
      </c>
      <c r="G143" s="15">
        <v>0.25</v>
      </c>
      <c r="H143" s="15">
        <v>0.375</v>
      </c>
      <c r="I143" s="21">
        <f t="shared" si="7"/>
        <v>3</v>
      </c>
      <c r="J143" s="22">
        <v>15</v>
      </c>
      <c r="K143" s="25">
        <f t="shared" si="6"/>
        <v>45</v>
      </c>
    </row>
    <row r="144" spans="6:11">
      <c r="F144" s="11" t="s">
        <v>12</v>
      </c>
      <c r="G144" s="15">
        <v>0.25</v>
      </c>
      <c r="H144" s="15">
        <v>0.458333333333333</v>
      </c>
      <c r="I144" s="21">
        <f t="shared" ref="I144:I162" si="8">(H144-G144)*24</f>
        <v>4.99999999999999</v>
      </c>
      <c r="J144" s="22">
        <v>15</v>
      </c>
      <c r="K144" s="25">
        <f t="shared" ref="K144:K162" si="9">(J144*I144)</f>
        <v>74.9999999999999</v>
      </c>
    </row>
    <row r="145" spans="6:11">
      <c r="F145" s="11" t="s">
        <v>13</v>
      </c>
      <c r="G145" s="15">
        <v>0.708333333333333</v>
      </c>
      <c r="H145" s="15">
        <v>0.916666666666667</v>
      </c>
      <c r="I145" s="21">
        <f t="shared" si="8"/>
        <v>5.00000000000001</v>
      </c>
      <c r="J145" s="22">
        <v>15</v>
      </c>
      <c r="K145" s="25">
        <f t="shared" si="9"/>
        <v>75.0000000000002</v>
      </c>
    </row>
    <row r="146" spans="6:11">
      <c r="F146" s="11" t="s">
        <v>14</v>
      </c>
      <c r="I146" s="21">
        <f t="shared" si="8"/>
        <v>0</v>
      </c>
      <c r="J146" s="22">
        <v>15</v>
      </c>
      <c r="K146" s="25">
        <f t="shared" si="9"/>
        <v>0</v>
      </c>
    </row>
    <row r="147" spans="6:11">
      <c r="F147" s="11" t="s">
        <v>9</v>
      </c>
      <c r="G147" s="15">
        <v>0.5</v>
      </c>
      <c r="H147" s="15">
        <v>0.75</v>
      </c>
      <c r="I147" s="21">
        <f t="shared" si="8"/>
        <v>6</v>
      </c>
      <c r="J147" s="22">
        <v>15</v>
      </c>
      <c r="K147" s="25">
        <f t="shared" si="9"/>
        <v>90</v>
      </c>
    </row>
    <row r="148" spans="5:11">
      <c r="E148" s="71">
        <v>45750</v>
      </c>
      <c r="F148" s="8" t="s">
        <v>8</v>
      </c>
      <c r="G148" s="9">
        <v>0.25</v>
      </c>
      <c r="H148" s="9">
        <v>0.458333333333333</v>
      </c>
      <c r="I148" s="17">
        <f t="shared" si="8"/>
        <v>4.99999999999999</v>
      </c>
      <c r="J148" s="18">
        <v>15</v>
      </c>
      <c r="K148" s="18">
        <f t="shared" si="9"/>
        <v>74.9999999999999</v>
      </c>
    </row>
    <row r="149" spans="6:11">
      <c r="F149" s="14" t="s">
        <v>8</v>
      </c>
      <c r="G149" s="15">
        <v>0.708333333333333</v>
      </c>
      <c r="H149" s="15">
        <v>0.916666666666667</v>
      </c>
      <c r="I149" s="24">
        <f t="shared" si="8"/>
        <v>5</v>
      </c>
      <c r="J149" s="25">
        <v>15</v>
      </c>
      <c r="K149" s="25">
        <f t="shared" si="9"/>
        <v>75</v>
      </c>
    </row>
    <row r="150" spans="6:11">
      <c r="F150" s="11" t="s">
        <v>10</v>
      </c>
      <c r="I150" s="21">
        <f t="shared" si="8"/>
        <v>0</v>
      </c>
      <c r="J150" s="22">
        <v>15</v>
      </c>
      <c r="K150" s="25">
        <f t="shared" si="9"/>
        <v>0</v>
      </c>
    </row>
    <row r="151" spans="6:11">
      <c r="F151" s="11" t="s">
        <v>12</v>
      </c>
      <c r="I151" s="21">
        <f t="shared" si="8"/>
        <v>0</v>
      </c>
      <c r="J151" s="22">
        <v>15</v>
      </c>
      <c r="K151" s="25">
        <f t="shared" si="9"/>
        <v>0</v>
      </c>
    </row>
    <row r="152" spans="6:11">
      <c r="F152" s="11" t="s">
        <v>13</v>
      </c>
      <c r="I152" s="21">
        <f t="shared" si="8"/>
        <v>0</v>
      </c>
      <c r="J152" s="22">
        <v>15</v>
      </c>
      <c r="K152" s="25">
        <f t="shared" si="9"/>
        <v>0</v>
      </c>
    </row>
    <row r="153" spans="6:11">
      <c r="F153" s="11" t="s">
        <v>14</v>
      </c>
      <c r="I153" s="21">
        <f t="shared" si="8"/>
        <v>0</v>
      </c>
      <c r="J153" s="22">
        <v>15</v>
      </c>
      <c r="K153" s="25">
        <f t="shared" si="9"/>
        <v>0</v>
      </c>
    </row>
    <row r="154" spans="6:11">
      <c r="F154" s="11" t="s">
        <v>9</v>
      </c>
      <c r="G154" s="15">
        <v>0.25</v>
      </c>
      <c r="H154" s="15">
        <v>0.708333333333333</v>
      </c>
      <c r="I154" s="21">
        <f t="shared" si="8"/>
        <v>11</v>
      </c>
      <c r="J154" s="22">
        <v>15</v>
      </c>
      <c r="K154" s="25">
        <f t="shared" si="9"/>
        <v>165</v>
      </c>
    </row>
    <row r="155" spans="5:11">
      <c r="E155" s="71">
        <v>45780</v>
      </c>
      <c r="F155" s="8" t="s">
        <v>8</v>
      </c>
      <c r="G155" s="8"/>
      <c r="H155" s="8"/>
      <c r="I155" s="17">
        <f t="shared" si="8"/>
        <v>0</v>
      </c>
      <c r="J155" s="18">
        <v>15</v>
      </c>
      <c r="K155" s="18">
        <f t="shared" si="9"/>
        <v>0</v>
      </c>
    </row>
    <row r="156" spans="6:11">
      <c r="F156" s="11" t="s">
        <v>10</v>
      </c>
      <c r="G156" s="15">
        <v>0.25</v>
      </c>
      <c r="H156" s="15">
        <v>0.458333333333333</v>
      </c>
      <c r="I156" s="21">
        <f t="shared" si="8"/>
        <v>4.99999999999999</v>
      </c>
      <c r="J156" s="22">
        <v>15</v>
      </c>
      <c r="K156" s="25">
        <f t="shared" si="9"/>
        <v>74.9999999999999</v>
      </c>
    </row>
    <row r="157" spans="6:11">
      <c r="F157" s="11" t="s">
        <v>12</v>
      </c>
      <c r="G157" s="15">
        <v>0.25</v>
      </c>
      <c r="H157" s="15">
        <v>0.5</v>
      </c>
      <c r="I157" s="21">
        <f t="shared" si="8"/>
        <v>6</v>
      </c>
      <c r="J157" s="22">
        <v>15</v>
      </c>
      <c r="K157" s="25">
        <f t="shared" si="9"/>
        <v>90</v>
      </c>
    </row>
    <row r="158" spans="6:11">
      <c r="F158" s="11" t="s">
        <v>13</v>
      </c>
      <c r="G158" s="15">
        <v>0.708333333333333</v>
      </c>
      <c r="H158" s="15">
        <v>0.916666666666667</v>
      </c>
      <c r="I158" s="21">
        <f t="shared" si="8"/>
        <v>5.00000000000001</v>
      </c>
      <c r="J158" s="22">
        <v>15</v>
      </c>
      <c r="K158" s="25">
        <f t="shared" si="9"/>
        <v>75.0000000000002</v>
      </c>
    </row>
    <row r="159" spans="6:11">
      <c r="F159" s="11" t="s">
        <v>14</v>
      </c>
      <c r="G159" s="15">
        <v>0.5</v>
      </c>
      <c r="H159" s="15">
        <v>0.916666666666667</v>
      </c>
      <c r="I159" s="21">
        <f t="shared" si="8"/>
        <v>10</v>
      </c>
      <c r="J159" s="22">
        <v>15</v>
      </c>
      <c r="K159" s="25">
        <f t="shared" si="9"/>
        <v>150</v>
      </c>
    </row>
    <row r="160" spans="6:11">
      <c r="F160" s="11" t="s">
        <v>9</v>
      </c>
      <c r="G160" s="15">
        <v>0.5</v>
      </c>
      <c r="H160" s="15">
        <v>0.708333333333333</v>
      </c>
      <c r="I160" s="21">
        <f t="shared" si="8"/>
        <v>4.99999999999999</v>
      </c>
      <c r="J160" s="22">
        <v>15</v>
      </c>
      <c r="K160" s="25">
        <f t="shared" si="9"/>
        <v>74.9999999999999</v>
      </c>
    </row>
    <row r="161" spans="5:11">
      <c r="E161" s="71">
        <v>45811</v>
      </c>
      <c r="F161" s="8" t="s">
        <v>8</v>
      </c>
      <c r="G161" s="9">
        <v>0.25</v>
      </c>
      <c r="H161" s="9">
        <v>0.458333333333333</v>
      </c>
      <c r="I161" s="17">
        <f t="shared" si="8"/>
        <v>4.99999999999999</v>
      </c>
      <c r="J161" s="18">
        <v>15</v>
      </c>
      <c r="K161" s="18">
        <f t="shared" si="9"/>
        <v>74.9999999999999</v>
      </c>
    </row>
    <row r="162" spans="6:11">
      <c r="F162" s="11" t="s">
        <v>8</v>
      </c>
      <c r="G162" s="15">
        <v>0.708333333333333</v>
      </c>
      <c r="H162" s="15">
        <v>0.958333333333333</v>
      </c>
      <c r="I162" s="24">
        <f t="shared" si="8"/>
        <v>6.00000000000001</v>
      </c>
      <c r="J162" s="25">
        <v>15</v>
      </c>
      <c r="K162" s="25">
        <f t="shared" si="9"/>
        <v>90.0000000000001</v>
      </c>
    </row>
    <row r="163" spans="6:11">
      <c r="F163" s="11" t="s">
        <v>10</v>
      </c>
      <c r="I163" s="21">
        <f t="shared" ref="I163:I179" si="10">(H163-G163)*24</f>
        <v>0</v>
      </c>
      <c r="J163" s="22">
        <v>15</v>
      </c>
      <c r="K163" s="25">
        <f t="shared" ref="K163:K179" si="11">(J163*I163)</f>
        <v>0</v>
      </c>
    </row>
    <row r="164" spans="6:11">
      <c r="F164" s="11" t="s">
        <v>12</v>
      </c>
      <c r="G164" s="15">
        <v>0.25</v>
      </c>
      <c r="H164" s="15">
        <v>0.5</v>
      </c>
      <c r="I164" s="21">
        <f t="shared" si="10"/>
        <v>6</v>
      </c>
      <c r="J164" s="22">
        <v>15</v>
      </c>
      <c r="K164" s="25">
        <f t="shared" si="11"/>
        <v>90</v>
      </c>
    </row>
    <row r="165" spans="6:11">
      <c r="F165" s="11" t="s">
        <v>13</v>
      </c>
      <c r="G165" s="15">
        <v>0.708333333333333</v>
      </c>
      <c r="H165" s="15">
        <v>0.916666666666667</v>
      </c>
      <c r="I165" s="21">
        <f t="shared" si="10"/>
        <v>5.00000000000001</v>
      </c>
      <c r="J165" s="22">
        <v>15</v>
      </c>
      <c r="K165" s="25">
        <f t="shared" si="11"/>
        <v>75.0000000000002</v>
      </c>
    </row>
    <row r="166" spans="6:11">
      <c r="F166" s="11" t="s">
        <v>14</v>
      </c>
      <c r="I166" s="21">
        <f t="shared" si="10"/>
        <v>0</v>
      </c>
      <c r="J166" s="22">
        <v>15</v>
      </c>
      <c r="K166" s="25">
        <f t="shared" si="11"/>
        <v>0</v>
      </c>
    </row>
    <row r="167" spans="6:11">
      <c r="F167" s="11" t="s">
        <v>9</v>
      </c>
      <c r="I167" s="21">
        <f t="shared" si="10"/>
        <v>0</v>
      </c>
      <c r="J167" s="22">
        <v>15</v>
      </c>
      <c r="K167" s="25">
        <f t="shared" si="11"/>
        <v>0</v>
      </c>
    </row>
    <row r="168" spans="5:11">
      <c r="E168" s="71">
        <v>45841</v>
      </c>
      <c r="F168" s="8" t="s">
        <v>8</v>
      </c>
      <c r="G168" s="9">
        <v>0.25</v>
      </c>
      <c r="H168" s="9">
        <v>0.354166666666667</v>
      </c>
      <c r="I168" s="17">
        <f t="shared" si="10"/>
        <v>2.50000000000001</v>
      </c>
      <c r="J168" s="18">
        <v>15</v>
      </c>
      <c r="K168" s="18">
        <f t="shared" si="11"/>
        <v>37.5000000000001</v>
      </c>
    </row>
    <row r="169" spans="6:11">
      <c r="F169" s="11" t="s">
        <v>10</v>
      </c>
      <c r="G169" s="15">
        <v>0.25</v>
      </c>
      <c r="H169" s="15">
        <v>0.458333333333333</v>
      </c>
      <c r="I169" s="21">
        <f t="shared" si="10"/>
        <v>4.99999999999999</v>
      </c>
      <c r="J169" s="22">
        <v>15</v>
      </c>
      <c r="K169" s="25">
        <f t="shared" si="11"/>
        <v>74.9999999999999</v>
      </c>
    </row>
    <row r="170" spans="6:11">
      <c r="F170" s="11" t="s">
        <v>12</v>
      </c>
      <c r="G170" s="15">
        <v>0.708333333333333</v>
      </c>
      <c r="H170" s="15">
        <v>0.916666666666667</v>
      </c>
      <c r="I170" s="21">
        <f t="shared" si="10"/>
        <v>5.00000000000001</v>
      </c>
      <c r="J170" s="22">
        <v>15</v>
      </c>
      <c r="K170" s="25">
        <f t="shared" si="11"/>
        <v>75.0000000000002</v>
      </c>
    </row>
    <row r="171" spans="6:11">
      <c r="F171" s="11" t="s">
        <v>13</v>
      </c>
      <c r="I171" s="21">
        <f t="shared" si="10"/>
        <v>0</v>
      </c>
      <c r="J171" s="22">
        <v>15</v>
      </c>
      <c r="K171" s="25">
        <f t="shared" si="11"/>
        <v>0</v>
      </c>
    </row>
    <row r="172" spans="6:11">
      <c r="F172" s="11" t="s">
        <v>14</v>
      </c>
      <c r="G172" s="15">
        <v>0.5</v>
      </c>
      <c r="H172" s="15">
        <v>0.916666666666667</v>
      </c>
      <c r="I172" s="21">
        <f t="shared" si="10"/>
        <v>10</v>
      </c>
      <c r="J172" s="22">
        <v>15</v>
      </c>
      <c r="K172" s="25">
        <f t="shared" si="11"/>
        <v>150</v>
      </c>
    </row>
    <row r="173" spans="6:11">
      <c r="F173" s="11" t="s">
        <v>9</v>
      </c>
      <c r="I173" s="21">
        <f t="shared" si="10"/>
        <v>0</v>
      </c>
      <c r="J173" s="22">
        <v>15</v>
      </c>
      <c r="K173" s="25">
        <f t="shared" si="11"/>
        <v>0</v>
      </c>
    </row>
    <row r="174" spans="5:11">
      <c r="E174" s="71">
        <v>45872</v>
      </c>
      <c r="F174" s="8" t="s">
        <v>8</v>
      </c>
      <c r="G174" s="9">
        <v>0.25</v>
      </c>
      <c r="H174" s="9">
        <v>0.5</v>
      </c>
      <c r="I174" s="17">
        <f t="shared" si="10"/>
        <v>6</v>
      </c>
      <c r="J174" s="18">
        <v>15</v>
      </c>
      <c r="K174" s="18">
        <f t="shared" si="11"/>
        <v>90</v>
      </c>
    </row>
    <row r="175" spans="6:11">
      <c r="F175" s="11" t="s">
        <v>10</v>
      </c>
      <c r="I175" s="21">
        <f t="shared" si="10"/>
        <v>0</v>
      </c>
      <c r="J175" s="22">
        <v>15</v>
      </c>
      <c r="K175" s="25">
        <f t="shared" si="11"/>
        <v>0</v>
      </c>
    </row>
    <row r="176" spans="6:11">
      <c r="F176" s="11" t="s">
        <v>12</v>
      </c>
      <c r="G176" s="15">
        <v>0.5</v>
      </c>
      <c r="H176" s="15">
        <v>0.916666666666667</v>
      </c>
      <c r="I176" s="21">
        <f t="shared" si="10"/>
        <v>10</v>
      </c>
      <c r="J176" s="22">
        <v>15</v>
      </c>
      <c r="K176" s="25">
        <f t="shared" si="11"/>
        <v>150</v>
      </c>
    </row>
    <row r="177" spans="6:11">
      <c r="F177" s="11" t="s">
        <v>13</v>
      </c>
      <c r="I177" s="21">
        <f t="shared" si="10"/>
        <v>0</v>
      </c>
      <c r="J177" s="22">
        <v>15</v>
      </c>
      <c r="K177" s="25">
        <f t="shared" si="11"/>
        <v>0</v>
      </c>
    </row>
    <row r="178" spans="6:11">
      <c r="F178" s="11" t="s">
        <v>14</v>
      </c>
      <c r="G178" s="15">
        <v>0.5</v>
      </c>
      <c r="H178" s="15">
        <v>0.916666666666667</v>
      </c>
      <c r="I178" s="21">
        <f t="shared" si="10"/>
        <v>10</v>
      </c>
      <c r="J178" s="22">
        <v>15</v>
      </c>
      <c r="K178" s="25">
        <f t="shared" si="11"/>
        <v>150</v>
      </c>
    </row>
    <row r="179" spans="6:11">
      <c r="F179" s="11" t="s">
        <v>9</v>
      </c>
      <c r="G179" s="15">
        <v>0.25</v>
      </c>
      <c r="H179" s="15">
        <v>0.5</v>
      </c>
      <c r="I179" s="21">
        <f t="shared" si="10"/>
        <v>6</v>
      </c>
      <c r="J179" s="22">
        <v>15</v>
      </c>
      <c r="K179" s="25">
        <f t="shared" si="11"/>
        <v>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O246"/>
  <sheetViews>
    <sheetView workbookViewId="0">
      <selection activeCell="D342" sqref="D342"/>
    </sheetView>
  </sheetViews>
  <sheetFormatPr defaultColWidth="9.14285714285714" defaultRowHeight="15"/>
  <cols>
    <col min="5" max="5" width="10.5714285714286" style="1" customWidth="1"/>
    <col min="6" max="6" width="9.14285714285714" style="11"/>
    <col min="7" max="8" width="9.57142857142857" style="2"/>
    <col min="9" max="9" width="15.7142857142857" style="2" customWidth="1"/>
    <col min="10" max="10" width="10.7142857142857" style="2" customWidth="1"/>
    <col min="11" max="11" width="11.1428571428571" style="2" customWidth="1"/>
    <col min="13" max="13" width="10.8571428571429" customWidth="1"/>
    <col min="15" max="15" width="10.5714285714286"/>
  </cols>
  <sheetData>
    <row r="1" spans="5:11">
      <c r="E1" s="3"/>
      <c r="F1" s="28"/>
      <c r="G1" s="4"/>
      <c r="H1" s="4"/>
      <c r="I1" s="4"/>
      <c r="J1" s="4"/>
      <c r="K1" s="4"/>
    </row>
    <row r="2" spans="5:11">
      <c r="E2" s="3"/>
      <c r="F2" s="28"/>
      <c r="G2" s="4"/>
      <c r="H2" s="4"/>
      <c r="I2" s="4"/>
      <c r="J2" s="4"/>
      <c r="K2" s="4"/>
    </row>
    <row r="3" spans="5:11">
      <c r="E3" s="3"/>
      <c r="F3" s="28"/>
      <c r="G3" s="4"/>
      <c r="H3" s="4"/>
      <c r="I3" s="4"/>
      <c r="J3" s="4"/>
      <c r="K3" s="4"/>
    </row>
    <row r="4" spans="5:11">
      <c r="E4" s="3"/>
      <c r="F4" s="28"/>
      <c r="G4" s="4"/>
      <c r="H4" s="4"/>
      <c r="I4" s="4"/>
      <c r="J4" s="4"/>
      <c r="K4" s="4"/>
    </row>
    <row r="5" spans="5:11">
      <c r="E5" s="3"/>
      <c r="F5" s="28"/>
      <c r="G5" s="4"/>
      <c r="H5" s="4"/>
      <c r="I5" s="4"/>
      <c r="J5" s="4"/>
      <c r="K5" s="4"/>
    </row>
    <row r="6" spans="5:11">
      <c r="E6" s="3"/>
      <c r="F6" s="28"/>
      <c r="G6" s="4"/>
      <c r="H6" s="4"/>
      <c r="I6" s="4"/>
      <c r="J6" s="4"/>
      <c r="K6" s="4"/>
    </row>
    <row r="7" spans="5:11">
      <c r="E7" s="3"/>
      <c r="F7" s="28"/>
      <c r="G7" s="4"/>
      <c r="H7" s="4"/>
      <c r="I7" s="4"/>
      <c r="J7" s="4"/>
      <c r="K7" s="4"/>
    </row>
    <row r="8" spans="5:11">
      <c r="E8" s="3"/>
      <c r="F8" s="28"/>
      <c r="G8" s="4"/>
      <c r="H8" s="4"/>
      <c r="I8" s="4"/>
      <c r="J8" s="4"/>
      <c r="K8" s="4"/>
    </row>
    <row r="9" spans="5:15">
      <c r="E9" s="5" t="s">
        <v>0</v>
      </c>
      <c r="F9" s="6" t="s">
        <v>1</v>
      </c>
      <c r="G9" s="6" t="s">
        <v>2</v>
      </c>
      <c r="H9" s="6" t="s">
        <v>3</v>
      </c>
      <c r="I9" s="6" t="s">
        <v>4</v>
      </c>
      <c r="J9" s="6" t="s">
        <v>5</v>
      </c>
      <c r="K9" s="6" t="s">
        <v>6</v>
      </c>
      <c r="L9" s="16" t="s">
        <v>1</v>
      </c>
      <c r="M9" s="16" t="s">
        <v>7</v>
      </c>
      <c r="N9" s="16" t="s">
        <v>1</v>
      </c>
      <c r="O9" s="16" t="s">
        <v>7</v>
      </c>
    </row>
    <row r="10" spans="5:15">
      <c r="E10" s="7">
        <v>45903</v>
      </c>
      <c r="F10" s="8" t="s">
        <v>8</v>
      </c>
      <c r="G10" s="9">
        <v>0.5</v>
      </c>
      <c r="H10" s="9">
        <v>0.916666666666667</v>
      </c>
      <c r="I10" s="17">
        <f t="shared" ref="I10:I37" si="0">(H10-G10)*24</f>
        <v>10</v>
      </c>
      <c r="J10" s="18">
        <v>15</v>
      </c>
      <c r="K10" s="18">
        <f t="shared" ref="K10:K37" si="1">(J10*I10)</f>
        <v>150</v>
      </c>
      <c r="L10" s="19" t="s">
        <v>8</v>
      </c>
      <c r="M10" s="23">
        <f>SUMIF(F8:F255,"Hoàng",K8:K255)</f>
        <v>2670</v>
      </c>
      <c r="N10" s="19" t="s">
        <v>9</v>
      </c>
      <c r="O10" s="23">
        <f>SUMIF(F8:F255,"Thảo",K8:K255)</f>
        <v>1515</v>
      </c>
    </row>
    <row r="11" spans="5:15">
      <c r="E11" s="10"/>
      <c r="F11" s="11" t="s">
        <v>10</v>
      </c>
      <c r="G11" s="12"/>
      <c r="H11" s="12"/>
      <c r="I11" s="21">
        <f t="shared" si="0"/>
        <v>0</v>
      </c>
      <c r="J11" s="22">
        <v>15</v>
      </c>
      <c r="K11" s="22">
        <f t="shared" si="1"/>
        <v>0</v>
      </c>
      <c r="L11" s="19" t="s">
        <v>10</v>
      </c>
      <c r="M11" s="23">
        <f>SUMIF(F9:F256,"Trâm",K9:K256)</f>
        <v>825</v>
      </c>
      <c r="N11" s="19" t="s">
        <v>33</v>
      </c>
      <c r="O11" s="23">
        <f>SUMIF(F9:F256,"An",K9:K256)</f>
        <v>525</v>
      </c>
    </row>
    <row r="12" spans="5:15">
      <c r="E12" s="10"/>
      <c r="F12" s="11" t="s">
        <v>12</v>
      </c>
      <c r="G12" s="12">
        <v>0.25</v>
      </c>
      <c r="H12" s="12">
        <v>0.5</v>
      </c>
      <c r="I12" s="21">
        <f t="shared" si="0"/>
        <v>6</v>
      </c>
      <c r="J12" s="22">
        <v>15</v>
      </c>
      <c r="K12" s="22">
        <f t="shared" si="1"/>
        <v>90</v>
      </c>
      <c r="L12" s="19" t="s">
        <v>12</v>
      </c>
      <c r="M12" s="23">
        <f>SUMIF(F10:F257,"Ngọc",K10:K257)</f>
        <v>2400</v>
      </c>
      <c r="N12" s="19" t="s">
        <v>34</v>
      </c>
      <c r="O12" s="23">
        <f>SUMIF(F10:F257,"Tân",K10:K257)</f>
        <v>952.5</v>
      </c>
    </row>
    <row r="13" spans="5:15">
      <c r="E13" s="10"/>
      <c r="F13" s="11" t="s">
        <v>13</v>
      </c>
      <c r="G13" s="11"/>
      <c r="H13" s="11"/>
      <c r="I13" s="21">
        <f t="shared" si="0"/>
        <v>0</v>
      </c>
      <c r="J13" s="22">
        <v>15</v>
      </c>
      <c r="K13" s="22">
        <f t="shared" si="1"/>
        <v>0</v>
      </c>
      <c r="L13" s="19" t="s">
        <v>13</v>
      </c>
      <c r="M13" s="23">
        <f>SUMIF(F11:F258,"Quỳnh",K11:K258)</f>
        <v>1080</v>
      </c>
      <c r="N13" s="19" t="s">
        <v>35</v>
      </c>
      <c r="O13" s="23">
        <f>SUMIF(F11:F258,"Tuấn",K11:K258)</f>
        <v>405</v>
      </c>
    </row>
    <row r="14" spans="5:13">
      <c r="E14" s="13"/>
      <c r="F14" s="14" t="s">
        <v>14</v>
      </c>
      <c r="G14" s="12">
        <v>0.708333333333333</v>
      </c>
      <c r="H14" s="12">
        <v>0.916666666666667</v>
      </c>
      <c r="I14" s="21">
        <f t="shared" si="0"/>
        <v>5.00000000000001</v>
      </c>
      <c r="J14" s="22">
        <v>15</v>
      </c>
      <c r="K14" s="22">
        <f t="shared" si="1"/>
        <v>75.0000000000001</v>
      </c>
      <c r="L14" s="19" t="s">
        <v>14</v>
      </c>
      <c r="M14" s="23">
        <f>SUMIF(F12:F259,"Lượng",K12:K259)</f>
        <v>1425</v>
      </c>
    </row>
    <row r="15" spans="5:13">
      <c r="E15" s="10"/>
      <c r="F15" s="11" t="s">
        <v>9</v>
      </c>
      <c r="G15" s="15">
        <v>0.5</v>
      </c>
      <c r="H15" s="15">
        <v>0.708333333333333</v>
      </c>
      <c r="I15" s="21">
        <f t="shared" si="0"/>
        <v>4.99999999999999</v>
      </c>
      <c r="J15" s="22">
        <v>15</v>
      </c>
      <c r="K15" s="22">
        <f t="shared" si="1"/>
        <v>74.9999999999999</v>
      </c>
      <c r="L15" s="26" t="s">
        <v>15</v>
      </c>
      <c r="M15" s="20">
        <f>(SUM(M10,M14,M13,M12,M11,O10,O11,O13,O12))</f>
        <v>11797.5</v>
      </c>
    </row>
    <row r="16" spans="5:11">
      <c r="E16" s="7">
        <v>45933</v>
      </c>
      <c r="F16" s="8" t="s">
        <v>8</v>
      </c>
      <c r="G16" s="9">
        <v>0.708333333333333</v>
      </c>
      <c r="H16" s="9">
        <v>0.958333333333333</v>
      </c>
      <c r="I16" s="17">
        <f t="shared" si="0"/>
        <v>6</v>
      </c>
      <c r="J16" s="18">
        <v>15</v>
      </c>
      <c r="K16" s="18">
        <f t="shared" si="1"/>
        <v>90</v>
      </c>
    </row>
    <row r="17" spans="5:11">
      <c r="E17" s="10"/>
      <c r="F17" s="11" t="s">
        <v>10</v>
      </c>
      <c r="G17" s="12">
        <v>0.25</v>
      </c>
      <c r="H17" s="12">
        <v>0.458333333333333</v>
      </c>
      <c r="I17" s="21">
        <f t="shared" si="0"/>
        <v>4.99999999999999</v>
      </c>
      <c r="J17" s="22">
        <v>15</v>
      </c>
      <c r="K17" s="22">
        <f t="shared" si="1"/>
        <v>74.9999999999999</v>
      </c>
    </row>
    <row r="18" spans="5:11">
      <c r="E18" s="10"/>
      <c r="F18" s="11" t="s">
        <v>12</v>
      </c>
      <c r="G18" s="12">
        <v>0.25</v>
      </c>
      <c r="H18" s="12">
        <v>0.458333333333333</v>
      </c>
      <c r="I18" s="21">
        <f t="shared" si="0"/>
        <v>4.99999999999999</v>
      </c>
      <c r="J18" s="22">
        <v>15</v>
      </c>
      <c r="K18" s="22">
        <f t="shared" si="1"/>
        <v>74.9999999999999</v>
      </c>
    </row>
    <row r="19" spans="5:11">
      <c r="E19" s="10"/>
      <c r="F19" s="11" t="s">
        <v>13</v>
      </c>
      <c r="G19" s="12">
        <v>0.708333333333333</v>
      </c>
      <c r="H19" s="12">
        <v>0.916666666666667</v>
      </c>
      <c r="I19" s="21">
        <f t="shared" si="0"/>
        <v>5.00000000000001</v>
      </c>
      <c r="J19" s="22">
        <v>15</v>
      </c>
      <c r="K19" s="22">
        <f t="shared" si="1"/>
        <v>75.0000000000002</v>
      </c>
    </row>
    <row r="20" spans="5:11">
      <c r="E20" s="13"/>
      <c r="F20" s="14" t="s">
        <v>14</v>
      </c>
      <c r="I20" s="21">
        <f t="shared" si="0"/>
        <v>0</v>
      </c>
      <c r="J20" s="22">
        <v>15</v>
      </c>
      <c r="K20" s="22">
        <f t="shared" si="1"/>
        <v>0</v>
      </c>
    </row>
    <row r="21" spans="5:11">
      <c r="E21" s="10"/>
      <c r="F21" s="11" t="s">
        <v>9</v>
      </c>
      <c r="G21" s="15">
        <v>0.5</v>
      </c>
      <c r="H21" s="15">
        <v>0.708333333333333</v>
      </c>
      <c r="I21" s="21">
        <f t="shared" si="0"/>
        <v>4.99999999999999</v>
      </c>
      <c r="J21" s="22">
        <v>15</v>
      </c>
      <c r="K21" s="22">
        <f t="shared" si="1"/>
        <v>74.9999999999999</v>
      </c>
    </row>
    <row r="22" spans="5:11">
      <c r="E22" s="7">
        <v>45964</v>
      </c>
      <c r="F22" s="8" t="s">
        <v>8</v>
      </c>
      <c r="G22" s="9">
        <v>0.25</v>
      </c>
      <c r="H22" s="9">
        <v>0.458333333333333</v>
      </c>
      <c r="I22" s="17">
        <f t="shared" si="0"/>
        <v>4.99999999999999</v>
      </c>
      <c r="J22" s="18">
        <v>15</v>
      </c>
      <c r="K22" s="18">
        <f t="shared" si="1"/>
        <v>74.9999999999999</v>
      </c>
    </row>
    <row r="23" spans="5:11">
      <c r="E23" s="10"/>
      <c r="F23" s="11" t="s">
        <v>10</v>
      </c>
      <c r="I23" s="21">
        <f t="shared" si="0"/>
        <v>0</v>
      </c>
      <c r="J23" s="22">
        <v>15</v>
      </c>
      <c r="K23" s="22">
        <f t="shared" si="1"/>
        <v>0</v>
      </c>
    </row>
    <row r="24" spans="5:11">
      <c r="E24" s="10"/>
      <c r="F24" s="11" t="s">
        <v>12</v>
      </c>
      <c r="G24" s="12">
        <v>0.708333333333333</v>
      </c>
      <c r="H24" s="12">
        <v>0.916666666666667</v>
      </c>
      <c r="I24" s="21">
        <f t="shared" si="0"/>
        <v>5.00000000000001</v>
      </c>
      <c r="J24" s="22">
        <v>15</v>
      </c>
      <c r="K24" s="22">
        <f t="shared" si="1"/>
        <v>75.0000000000002</v>
      </c>
    </row>
    <row r="25" spans="5:11">
      <c r="E25" s="10"/>
      <c r="F25" s="11" t="s">
        <v>13</v>
      </c>
      <c r="I25" s="21">
        <f t="shared" si="0"/>
        <v>0</v>
      </c>
      <c r="J25" s="22">
        <v>15</v>
      </c>
      <c r="K25" s="22">
        <f t="shared" si="1"/>
        <v>0</v>
      </c>
    </row>
    <row r="26" spans="5:11">
      <c r="E26" s="13"/>
      <c r="F26" s="14" t="s">
        <v>14</v>
      </c>
      <c r="G26" s="12">
        <v>0.708333333333333</v>
      </c>
      <c r="H26" s="12">
        <v>0.916666666666667</v>
      </c>
      <c r="I26" s="21">
        <f t="shared" si="0"/>
        <v>5.00000000000001</v>
      </c>
      <c r="J26" s="22">
        <v>15</v>
      </c>
      <c r="K26" s="22">
        <f t="shared" si="1"/>
        <v>75.0000000000002</v>
      </c>
    </row>
    <row r="27" spans="5:11">
      <c r="E27" s="10"/>
      <c r="F27" s="11" t="s">
        <v>9</v>
      </c>
      <c r="G27" s="12">
        <v>0.25</v>
      </c>
      <c r="H27" s="12">
        <v>0.5</v>
      </c>
      <c r="I27" s="21">
        <f t="shared" si="0"/>
        <v>6</v>
      </c>
      <c r="J27" s="22">
        <v>15</v>
      </c>
      <c r="K27" s="22">
        <f t="shared" si="1"/>
        <v>90</v>
      </c>
    </row>
    <row r="28" spans="5:11">
      <c r="E28" s="7">
        <v>45994</v>
      </c>
      <c r="F28" s="8" t="s">
        <v>8</v>
      </c>
      <c r="G28" s="9">
        <v>0.25</v>
      </c>
      <c r="H28" s="9">
        <v>0.458333333333333</v>
      </c>
      <c r="I28" s="17">
        <f t="shared" si="0"/>
        <v>4.99999999999999</v>
      </c>
      <c r="J28" s="18">
        <v>15</v>
      </c>
      <c r="K28" s="18">
        <f t="shared" si="1"/>
        <v>74.9999999999999</v>
      </c>
    </row>
    <row r="29" spans="5:11">
      <c r="E29" s="10"/>
      <c r="F29" s="11" t="s">
        <v>8</v>
      </c>
      <c r="G29" s="12">
        <v>0.708333333333333</v>
      </c>
      <c r="H29" s="12">
        <v>0.916666666666667</v>
      </c>
      <c r="I29" s="24">
        <f t="shared" si="0"/>
        <v>5.00000000000001</v>
      </c>
      <c r="J29" s="25">
        <v>15</v>
      </c>
      <c r="K29" s="25">
        <f t="shared" si="1"/>
        <v>75.0000000000002</v>
      </c>
    </row>
    <row r="30" spans="5:11">
      <c r="E30" s="10"/>
      <c r="F30" s="11" t="s">
        <v>10</v>
      </c>
      <c r="G30" s="12">
        <v>0.25</v>
      </c>
      <c r="H30" s="12">
        <v>0.458333333333333</v>
      </c>
      <c r="I30" s="21">
        <f t="shared" si="0"/>
        <v>4.99999999999999</v>
      </c>
      <c r="J30" s="22">
        <v>15</v>
      </c>
      <c r="K30" s="22">
        <f t="shared" si="1"/>
        <v>74.9999999999999</v>
      </c>
    </row>
    <row r="31" spans="5:11">
      <c r="E31" s="10"/>
      <c r="F31" s="11" t="s">
        <v>12</v>
      </c>
      <c r="I31" s="21">
        <f t="shared" si="0"/>
        <v>0</v>
      </c>
      <c r="J31" s="22">
        <v>15</v>
      </c>
      <c r="K31" s="22">
        <f t="shared" si="1"/>
        <v>0</v>
      </c>
    </row>
    <row r="32" spans="5:11">
      <c r="E32" s="10"/>
      <c r="F32" s="11" t="s">
        <v>13</v>
      </c>
      <c r="G32" s="12">
        <v>0.708333333333333</v>
      </c>
      <c r="H32" s="12">
        <v>0.916666666666667</v>
      </c>
      <c r="I32" s="21">
        <f t="shared" si="0"/>
        <v>5.00000000000001</v>
      </c>
      <c r="J32" s="22">
        <v>15</v>
      </c>
      <c r="K32" s="22">
        <f t="shared" si="1"/>
        <v>75.0000000000002</v>
      </c>
    </row>
    <row r="33" spans="5:11">
      <c r="E33" s="13"/>
      <c r="F33" s="14" t="s">
        <v>14</v>
      </c>
      <c r="G33" s="15">
        <v>0.5</v>
      </c>
      <c r="H33" s="15">
        <v>0.708333333333333</v>
      </c>
      <c r="I33" s="21">
        <f t="shared" si="0"/>
        <v>4.99999999999999</v>
      </c>
      <c r="J33" s="22">
        <v>15</v>
      </c>
      <c r="K33" s="22">
        <f t="shared" si="1"/>
        <v>74.9999999999999</v>
      </c>
    </row>
    <row r="34" spans="5:11">
      <c r="E34" s="10"/>
      <c r="F34" s="11" t="s">
        <v>9</v>
      </c>
      <c r="G34" s="15">
        <v>0.5</v>
      </c>
      <c r="H34" s="15">
        <v>0.708333333333333</v>
      </c>
      <c r="I34" s="21">
        <f t="shared" si="0"/>
        <v>4.99999999999999</v>
      </c>
      <c r="J34" s="22">
        <v>15</v>
      </c>
      <c r="K34" s="22">
        <f t="shared" si="1"/>
        <v>74.9999999999999</v>
      </c>
    </row>
    <row r="35" spans="5:11">
      <c r="E35" s="7" t="s">
        <v>36</v>
      </c>
      <c r="F35" s="8" t="s">
        <v>8</v>
      </c>
      <c r="G35" s="9">
        <v>0.25</v>
      </c>
      <c r="H35" s="9">
        <v>0.458333333333333</v>
      </c>
      <c r="I35" s="17">
        <f t="shared" si="0"/>
        <v>4.99999999999999</v>
      </c>
      <c r="J35" s="18">
        <v>15</v>
      </c>
      <c r="K35" s="18">
        <f t="shared" si="1"/>
        <v>74.9999999999999</v>
      </c>
    </row>
    <row r="36" spans="5:11">
      <c r="E36" s="10"/>
      <c r="F36" s="11" t="s">
        <v>8</v>
      </c>
      <c r="G36" s="12">
        <v>0.708333333333333</v>
      </c>
      <c r="H36" s="12">
        <v>0.916666666666667</v>
      </c>
      <c r="I36" s="24">
        <f t="shared" si="0"/>
        <v>5.00000000000001</v>
      </c>
      <c r="J36" s="25">
        <v>15</v>
      </c>
      <c r="K36" s="25">
        <f t="shared" si="1"/>
        <v>75.0000000000002</v>
      </c>
    </row>
    <row r="37" spans="5:11">
      <c r="E37" s="10"/>
      <c r="F37" s="11" t="s">
        <v>10</v>
      </c>
      <c r="I37" s="21">
        <f t="shared" si="0"/>
        <v>0</v>
      </c>
      <c r="J37" s="22">
        <v>15</v>
      </c>
      <c r="K37" s="22">
        <f t="shared" si="1"/>
        <v>0</v>
      </c>
    </row>
    <row r="38" spans="5:11">
      <c r="E38" s="10"/>
      <c r="F38" s="11" t="s">
        <v>12</v>
      </c>
      <c r="G38" s="12">
        <v>0.25</v>
      </c>
      <c r="H38" s="12">
        <v>0.5</v>
      </c>
      <c r="I38" s="21">
        <f t="shared" ref="I38:I43" si="2">(H38-G38)*24</f>
        <v>6</v>
      </c>
      <c r="J38" s="22">
        <v>15</v>
      </c>
      <c r="K38" s="22">
        <f t="shared" ref="K38:K43" si="3">(J38*I38)</f>
        <v>90</v>
      </c>
    </row>
    <row r="39" spans="5:11">
      <c r="E39" s="10"/>
      <c r="F39" s="11" t="s">
        <v>13</v>
      </c>
      <c r="G39" s="15">
        <v>0.5</v>
      </c>
      <c r="H39" s="15">
        <v>0.708333333333333</v>
      </c>
      <c r="I39" s="21">
        <f t="shared" si="2"/>
        <v>4.99999999999999</v>
      </c>
      <c r="J39" s="22">
        <v>15</v>
      </c>
      <c r="K39" s="22">
        <f t="shared" si="3"/>
        <v>74.9999999999999</v>
      </c>
    </row>
    <row r="40" spans="5:11">
      <c r="E40" s="13"/>
      <c r="F40" s="14" t="s">
        <v>14</v>
      </c>
      <c r="I40" s="21">
        <f t="shared" si="2"/>
        <v>0</v>
      </c>
      <c r="J40" s="22">
        <v>15</v>
      </c>
      <c r="K40" s="22">
        <f t="shared" si="3"/>
        <v>0</v>
      </c>
    </row>
    <row r="41" spans="5:11">
      <c r="E41" s="10"/>
      <c r="F41" s="11" t="s">
        <v>9</v>
      </c>
      <c r="I41" s="21">
        <f t="shared" si="2"/>
        <v>0</v>
      </c>
      <c r="J41" s="22">
        <v>15</v>
      </c>
      <c r="K41" s="22">
        <f t="shared" si="3"/>
        <v>0</v>
      </c>
    </row>
    <row r="42" spans="5:11">
      <c r="E42" s="7" t="s">
        <v>37</v>
      </c>
      <c r="F42" s="8" t="s">
        <v>8</v>
      </c>
      <c r="G42" s="9">
        <v>0.25</v>
      </c>
      <c r="H42" s="9">
        <v>0.354166666666667</v>
      </c>
      <c r="I42" s="17">
        <f t="shared" si="2"/>
        <v>2.5</v>
      </c>
      <c r="J42" s="18">
        <v>15</v>
      </c>
      <c r="K42" s="18">
        <f t="shared" si="3"/>
        <v>37.5</v>
      </c>
    </row>
    <row r="43" spans="5:11">
      <c r="E43" s="10"/>
      <c r="F43" s="11" t="s">
        <v>8</v>
      </c>
      <c r="G43" s="12">
        <v>0.708333333333333</v>
      </c>
      <c r="H43" s="12">
        <v>0.916666666666667</v>
      </c>
      <c r="I43" s="24">
        <f t="shared" si="2"/>
        <v>5.00000000000001</v>
      </c>
      <c r="J43" s="25">
        <v>15</v>
      </c>
      <c r="K43" s="25">
        <f t="shared" si="3"/>
        <v>75.0000000000002</v>
      </c>
    </row>
    <row r="44" spans="5:11">
      <c r="E44" s="10"/>
      <c r="F44" s="11" t="s">
        <v>10</v>
      </c>
      <c r="G44" s="12">
        <v>0.25</v>
      </c>
      <c r="H44" s="12">
        <v>0.458333333333333</v>
      </c>
      <c r="I44" s="21">
        <f t="shared" ref="I44:I89" si="4">(H44-G44)*24</f>
        <v>4.99999999999999</v>
      </c>
      <c r="J44" s="22">
        <v>15</v>
      </c>
      <c r="K44" s="22">
        <f t="shared" ref="K44:K89" si="5">(J44*I44)</f>
        <v>74.9999999999999</v>
      </c>
    </row>
    <row r="45" spans="5:11">
      <c r="E45" s="10"/>
      <c r="F45" s="11" t="s">
        <v>12</v>
      </c>
      <c r="G45" s="12">
        <v>0.708333333333333</v>
      </c>
      <c r="H45" s="12">
        <v>0.916666666666667</v>
      </c>
      <c r="I45" s="21">
        <f t="shared" si="4"/>
        <v>5.00000000000001</v>
      </c>
      <c r="J45" s="22">
        <v>15</v>
      </c>
      <c r="K45" s="22">
        <f t="shared" si="5"/>
        <v>75.0000000000002</v>
      </c>
    </row>
    <row r="46" spans="5:11">
      <c r="E46" s="10"/>
      <c r="F46" s="11" t="s">
        <v>13</v>
      </c>
      <c r="I46" s="21">
        <f t="shared" si="4"/>
        <v>0</v>
      </c>
      <c r="J46" s="22">
        <v>15</v>
      </c>
      <c r="K46" s="22">
        <f t="shared" si="5"/>
        <v>0</v>
      </c>
    </row>
    <row r="47" spans="5:11">
      <c r="E47" s="13"/>
      <c r="F47" s="14" t="s">
        <v>14</v>
      </c>
      <c r="G47" s="15">
        <v>0.458333333333333</v>
      </c>
      <c r="H47" s="15">
        <v>0.625</v>
      </c>
      <c r="I47" s="21">
        <f t="shared" si="4"/>
        <v>4.00000000000001</v>
      </c>
      <c r="J47" s="22">
        <v>15</v>
      </c>
      <c r="K47" s="22">
        <f t="shared" si="5"/>
        <v>60.0000000000001</v>
      </c>
    </row>
    <row r="48" spans="5:11">
      <c r="E48" s="10"/>
      <c r="F48" s="11" t="s">
        <v>9</v>
      </c>
      <c r="I48" s="21">
        <f t="shared" si="4"/>
        <v>0</v>
      </c>
      <c r="J48" s="22">
        <v>15</v>
      </c>
      <c r="K48" s="22">
        <f t="shared" si="5"/>
        <v>0</v>
      </c>
    </row>
    <row r="49" spans="5:11">
      <c r="E49" s="7" t="s">
        <v>38</v>
      </c>
      <c r="F49" s="8" t="s">
        <v>8</v>
      </c>
      <c r="G49" s="9">
        <v>0.25</v>
      </c>
      <c r="H49" s="9">
        <v>0.916666666666667</v>
      </c>
      <c r="I49" s="17">
        <f t="shared" si="4"/>
        <v>16</v>
      </c>
      <c r="J49" s="18">
        <v>15</v>
      </c>
      <c r="K49" s="18">
        <f t="shared" si="5"/>
        <v>240</v>
      </c>
    </row>
    <row r="50" spans="5:11">
      <c r="E50" s="10"/>
      <c r="F50" s="11" t="s">
        <v>10</v>
      </c>
      <c r="I50" s="21">
        <f t="shared" si="4"/>
        <v>0</v>
      </c>
      <c r="J50" s="22">
        <v>15</v>
      </c>
      <c r="K50" s="22">
        <f t="shared" si="5"/>
        <v>0</v>
      </c>
    </row>
    <row r="51" spans="5:11">
      <c r="E51" s="10"/>
      <c r="F51" s="11" t="s">
        <v>12</v>
      </c>
      <c r="G51" s="15">
        <v>0.5</v>
      </c>
      <c r="H51" s="15">
        <v>0.916666666666667</v>
      </c>
      <c r="I51" s="21">
        <f t="shared" si="4"/>
        <v>10</v>
      </c>
      <c r="J51" s="22">
        <v>15</v>
      </c>
      <c r="K51" s="22">
        <f t="shared" si="5"/>
        <v>150</v>
      </c>
    </row>
    <row r="52" spans="5:11">
      <c r="E52" s="10"/>
      <c r="F52" s="11" t="s">
        <v>13</v>
      </c>
      <c r="I52" s="21">
        <f t="shared" si="4"/>
        <v>0</v>
      </c>
      <c r="J52" s="22">
        <v>15</v>
      </c>
      <c r="K52" s="22">
        <f t="shared" si="5"/>
        <v>0</v>
      </c>
    </row>
    <row r="53" spans="5:11">
      <c r="E53" s="13"/>
      <c r="F53" s="14" t="s">
        <v>14</v>
      </c>
      <c r="I53" s="21">
        <f t="shared" si="4"/>
        <v>0</v>
      </c>
      <c r="J53" s="22">
        <v>15</v>
      </c>
      <c r="K53" s="22">
        <f t="shared" si="5"/>
        <v>0</v>
      </c>
    </row>
    <row r="54" spans="5:11">
      <c r="E54" s="10"/>
      <c r="F54" s="11" t="s">
        <v>9</v>
      </c>
      <c r="G54" s="12">
        <v>0.25</v>
      </c>
      <c r="H54" s="12">
        <v>0.5</v>
      </c>
      <c r="I54" s="21">
        <f t="shared" si="4"/>
        <v>6</v>
      </c>
      <c r="J54" s="22">
        <v>15</v>
      </c>
      <c r="K54" s="22">
        <f t="shared" si="5"/>
        <v>90</v>
      </c>
    </row>
    <row r="55" spans="5:11">
      <c r="E55" s="7" t="s">
        <v>39</v>
      </c>
      <c r="F55" s="8" t="s">
        <v>8</v>
      </c>
      <c r="G55" s="54"/>
      <c r="H55" s="54"/>
      <c r="I55" s="17">
        <f t="shared" si="4"/>
        <v>0</v>
      </c>
      <c r="J55" s="18">
        <v>15</v>
      </c>
      <c r="K55" s="18">
        <f t="shared" si="5"/>
        <v>0</v>
      </c>
    </row>
    <row r="56" spans="5:11">
      <c r="E56" s="10"/>
      <c r="F56" s="11" t="s">
        <v>10</v>
      </c>
      <c r="I56" s="21">
        <f t="shared" si="4"/>
        <v>0</v>
      </c>
      <c r="J56" s="22">
        <v>15</v>
      </c>
      <c r="K56" s="22">
        <f t="shared" si="5"/>
        <v>0</v>
      </c>
    </row>
    <row r="57" spans="5:11">
      <c r="E57" s="10"/>
      <c r="F57" s="11" t="s">
        <v>12</v>
      </c>
      <c r="G57" s="12">
        <v>0.25</v>
      </c>
      <c r="H57" s="12">
        <v>0.958333333333333</v>
      </c>
      <c r="I57" s="21">
        <f t="shared" si="4"/>
        <v>17</v>
      </c>
      <c r="J57" s="22">
        <v>15</v>
      </c>
      <c r="K57" s="22">
        <f t="shared" si="5"/>
        <v>255</v>
      </c>
    </row>
    <row r="58" spans="5:11">
      <c r="E58" s="10"/>
      <c r="F58" s="11" t="s">
        <v>13</v>
      </c>
      <c r="I58" s="21">
        <f t="shared" si="4"/>
        <v>0</v>
      </c>
      <c r="J58" s="22">
        <v>15</v>
      </c>
      <c r="K58" s="22">
        <f t="shared" si="5"/>
        <v>0</v>
      </c>
    </row>
    <row r="59" spans="5:11">
      <c r="E59" s="13"/>
      <c r="F59" s="14" t="s">
        <v>14</v>
      </c>
      <c r="I59" s="21">
        <f t="shared" si="4"/>
        <v>0</v>
      </c>
      <c r="J59" s="22">
        <v>15</v>
      </c>
      <c r="K59" s="22">
        <f t="shared" si="5"/>
        <v>0</v>
      </c>
    </row>
    <row r="60" spans="5:11">
      <c r="E60" s="10"/>
      <c r="F60" s="11" t="s">
        <v>9</v>
      </c>
      <c r="I60" s="21">
        <f t="shared" si="4"/>
        <v>0</v>
      </c>
      <c r="J60" s="22">
        <v>15</v>
      </c>
      <c r="K60" s="22">
        <f t="shared" si="5"/>
        <v>0</v>
      </c>
    </row>
    <row r="61" spans="5:11">
      <c r="E61" s="7" t="s">
        <v>40</v>
      </c>
      <c r="F61" s="8" t="s">
        <v>8</v>
      </c>
      <c r="G61" s="54"/>
      <c r="H61" s="54"/>
      <c r="I61" s="17">
        <f t="shared" si="4"/>
        <v>0</v>
      </c>
      <c r="J61" s="18">
        <v>15</v>
      </c>
      <c r="K61" s="18">
        <f t="shared" si="5"/>
        <v>0</v>
      </c>
    </row>
    <row r="62" spans="5:11">
      <c r="E62" s="10"/>
      <c r="F62" s="11" t="s">
        <v>10</v>
      </c>
      <c r="I62" s="21">
        <f t="shared" si="4"/>
        <v>0</v>
      </c>
      <c r="J62" s="22">
        <v>15</v>
      </c>
      <c r="K62" s="22">
        <f t="shared" si="5"/>
        <v>0</v>
      </c>
    </row>
    <row r="63" spans="5:11">
      <c r="E63" s="10"/>
      <c r="F63" s="11" t="s">
        <v>12</v>
      </c>
      <c r="I63" s="21">
        <f t="shared" si="4"/>
        <v>0</v>
      </c>
      <c r="J63" s="22">
        <v>15</v>
      </c>
      <c r="K63" s="22">
        <f t="shared" si="5"/>
        <v>0</v>
      </c>
    </row>
    <row r="64" spans="5:11">
      <c r="E64" s="10"/>
      <c r="F64" s="11" t="s">
        <v>13</v>
      </c>
      <c r="I64" s="21">
        <f t="shared" si="4"/>
        <v>0</v>
      </c>
      <c r="J64" s="22">
        <v>15</v>
      </c>
      <c r="K64" s="22">
        <f t="shared" si="5"/>
        <v>0</v>
      </c>
    </row>
    <row r="65" spans="5:11">
      <c r="E65" s="13"/>
      <c r="F65" s="14" t="s">
        <v>14</v>
      </c>
      <c r="I65" s="21">
        <f t="shared" si="4"/>
        <v>0</v>
      </c>
      <c r="J65" s="22">
        <v>15</v>
      </c>
      <c r="K65" s="22">
        <f t="shared" si="5"/>
        <v>0</v>
      </c>
    </row>
    <row r="66" spans="5:11">
      <c r="E66" s="10"/>
      <c r="F66" s="11" t="s">
        <v>9</v>
      </c>
      <c r="G66" s="15">
        <v>0.541666666666667</v>
      </c>
      <c r="H66" s="15">
        <v>0.916666666666667</v>
      </c>
      <c r="I66" s="21">
        <f t="shared" si="4"/>
        <v>9</v>
      </c>
      <c r="J66" s="22">
        <v>15</v>
      </c>
      <c r="K66" s="22">
        <f t="shared" si="5"/>
        <v>135</v>
      </c>
    </row>
    <row r="67" spans="5:11">
      <c r="E67" s="55"/>
      <c r="F67" s="56"/>
      <c r="G67" s="57">
        <v>0.25</v>
      </c>
      <c r="H67" s="57">
        <v>0.5</v>
      </c>
      <c r="I67" s="59">
        <f t="shared" si="4"/>
        <v>6</v>
      </c>
      <c r="J67" s="60">
        <v>15</v>
      </c>
      <c r="K67" s="60">
        <f t="shared" si="5"/>
        <v>90</v>
      </c>
    </row>
    <row r="68" spans="5:11">
      <c r="E68" s="55"/>
      <c r="F68" s="56"/>
      <c r="G68" s="57"/>
      <c r="H68" s="57"/>
      <c r="I68" s="59">
        <f t="shared" si="4"/>
        <v>0</v>
      </c>
      <c r="J68" s="60">
        <v>15</v>
      </c>
      <c r="K68" s="60">
        <f t="shared" si="5"/>
        <v>0</v>
      </c>
    </row>
    <row r="69" spans="5:11">
      <c r="E69" s="7" t="s">
        <v>41</v>
      </c>
      <c r="F69" s="8" t="s">
        <v>8</v>
      </c>
      <c r="G69" s="9">
        <v>0.25</v>
      </c>
      <c r="H69" s="9">
        <v>0.458333333333333</v>
      </c>
      <c r="I69" s="17">
        <f t="shared" si="4"/>
        <v>4.99999999999999</v>
      </c>
      <c r="J69" s="18">
        <v>15</v>
      </c>
      <c r="K69" s="18">
        <f t="shared" si="5"/>
        <v>74.9999999999999</v>
      </c>
    </row>
    <row r="70" spans="5:11">
      <c r="E70" s="10"/>
      <c r="F70" s="11" t="s">
        <v>10</v>
      </c>
      <c r="I70" s="21">
        <f t="shared" si="4"/>
        <v>0</v>
      </c>
      <c r="J70" s="22">
        <v>15</v>
      </c>
      <c r="K70" s="22">
        <f t="shared" si="5"/>
        <v>0</v>
      </c>
    </row>
    <row r="71" spans="5:11">
      <c r="E71" s="10"/>
      <c r="F71" s="11" t="s">
        <v>12</v>
      </c>
      <c r="I71" s="21">
        <f t="shared" si="4"/>
        <v>0</v>
      </c>
      <c r="J71" s="22">
        <v>15</v>
      </c>
      <c r="K71" s="22">
        <f t="shared" si="5"/>
        <v>0</v>
      </c>
    </row>
    <row r="72" spans="5:11">
      <c r="E72" s="10"/>
      <c r="F72" s="11" t="s">
        <v>13</v>
      </c>
      <c r="G72" s="12">
        <v>0.708333333333333</v>
      </c>
      <c r="H72" s="12">
        <v>0.916666666666667</v>
      </c>
      <c r="I72" s="21">
        <f t="shared" si="4"/>
        <v>5.00000000000001</v>
      </c>
      <c r="J72" s="22">
        <v>15</v>
      </c>
      <c r="K72" s="22">
        <f t="shared" si="5"/>
        <v>75.0000000000002</v>
      </c>
    </row>
    <row r="73" spans="5:11">
      <c r="E73" s="13"/>
      <c r="F73" s="14" t="s">
        <v>14</v>
      </c>
      <c r="G73" s="12">
        <v>0.708333333333333</v>
      </c>
      <c r="H73" s="12">
        <v>0.916666666666667</v>
      </c>
      <c r="I73" s="21">
        <f t="shared" si="4"/>
        <v>5.00000000000001</v>
      </c>
      <c r="J73" s="22">
        <v>15</v>
      </c>
      <c r="K73" s="22">
        <f t="shared" si="5"/>
        <v>75.0000000000002</v>
      </c>
    </row>
    <row r="74" spans="5:11">
      <c r="E74" s="10"/>
      <c r="F74" s="11" t="s">
        <v>9</v>
      </c>
      <c r="G74" s="12">
        <v>0.25</v>
      </c>
      <c r="H74" s="12">
        <v>0.5</v>
      </c>
      <c r="I74" s="21">
        <f t="shared" si="4"/>
        <v>6</v>
      </c>
      <c r="J74" s="22">
        <v>15</v>
      </c>
      <c r="K74" s="22">
        <f t="shared" si="5"/>
        <v>90</v>
      </c>
    </row>
    <row r="75" spans="5:11">
      <c r="E75" s="13"/>
      <c r="F75" s="14"/>
      <c r="G75" s="15">
        <v>0.5</v>
      </c>
      <c r="H75" s="15">
        <v>0.708333333333333</v>
      </c>
      <c r="I75" s="24">
        <f t="shared" si="4"/>
        <v>4.99999999999999</v>
      </c>
      <c r="J75" s="25">
        <v>15</v>
      </c>
      <c r="K75" s="25">
        <f t="shared" si="5"/>
        <v>74.9999999999999</v>
      </c>
    </row>
    <row r="76" spans="5:11">
      <c r="E76" s="13"/>
      <c r="F76" s="14"/>
      <c r="G76" s="15"/>
      <c r="H76" s="15"/>
      <c r="I76" s="24">
        <f t="shared" si="4"/>
        <v>0</v>
      </c>
      <c r="J76" s="25">
        <v>15</v>
      </c>
      <c r="K76" s="25">
        <f t="shared" si="5"/>
        <v>0</v>
      </c>
    </row>
    <row r="77" spans="5:11">
      <c r="E77" s="7" t="s">
        <v>42</v>
      </c>
      <c r="F77" s="8" t="s">
        <v>8</v>
      </c>
      <c r="G77" s="9">
        <v>0.25</v>
      </c>
      <c r="H77" s="9">
        <v>0.458333333333333</v>
      </c>
      <c r="I77" s="17">
        <f t="shared" si="4"/>
        <v>4.99999999999999</v>
      </c>
      <c r="J77" s="18">
        <v>15</v>
      </c>
      <c r="K77" s="18">
        <f t="shared" si="5"/>
        <v>74.9999999999999</v>
      </c>
    </row>
    <row r="78" spans="5:11">
      <c r="E78" s="10"/>
      <c r="F78" s="11" t="s">
        <v>8</v>
      </c>
      <c r="G78" s="12">
        <v>0.708333333333333</v>
      </c>
      <c r="H78" s="12">
        <v>0.9375</v>
      </c>
      <c r="I78" s="24">
        <f t="shared" si="4"/>
        <v>5.50000000000001</v>
      </c>
      <c r="J78" s="25">
        <v>15</v>
      </c>
      <c r="K78" s="25">
        <f t="shared" si="5"/>
        <v>82.5000000000001</v>
      </c>
    </row>
    <row r="79" spans="5:11">
      <c r="E79" s="10"/>
      <c r="F79" s="11" t="s">
        <v>10</v>
      </c>
      <c r="I79" s="21">
        <f t="shared" si="4"/>
        <v>0</v>
      </c>
      <c r="J79" s="22">
        <v>15</v>
      </c>
      <c r="K79" s="22">
        <f t="shared" si="5"/>
        <v>0</v>
      </c>
    </row>
    <row r="80" spans="5:11">
      <c r="E80" s="10"/>
      <c r="F80" s="11" t="s">
        <v>12</v>
      </c>
      <c r="G80" s="12">
        <v>0.25</v>
      </c>
      <c r="H80" s="12">
        <v>0.5</v>
      </c>
      <c r="I80" s="21">
        <f t="shared" si="4"/>
        <v>6</v>
      </c>
      <c r="J80" s="22">
        <v>15</v>
      </c>
      <c r="K80" s="22">
        <f t="shared" si="5"/>
        <v>90</v>
      </c>
    </row>
    <row r="81" spans="5:11">
      <c r="E81" s="10"/>
      <c r="F81" s="11" t="s">
        <v>13</v>
      </c>
      <c r="G81" s="12">
        <v>0.708333333333333</v>
      </c>
      <c r="H81" s="12">
        <v>0.958333333333333</v>
      </c>
      <c r="I81" s="21">
        <f t="shared" si="4"/>
        <v>6</v>
      </c>
      <c r="J81" s="22">
        <v>15</v>
      </c>
      <c r="K81" s="22">
        <f t="shared" si="5"/>
        <v>90</v>
      </c>
    </row>
    <row r="82" spans="5:11">
      <c r="E82" s="13"/>
      <c r="F82" s="14" t="s">
        <v>14</v>
      </c>
      <c r="I82" s="21">
        <f t="shared" si="4"/>
        <v>0</v>
      </c>
      <c r="J82" s="22">
        <v>15</v>
      </c>
      <c r="K82" s="22">
        <f t="shared" si="5"/>
        <v>0</v>
      </c>
    </row>
    <row r="83" spans="5:11">
      <c r="E83" s="10"/>
      <c r="F83" s="11" t="s">
        <v>9</v>
      </c>
      <c r="G83" s="15">
        <v>0.5</v>
      </c>
      <c r="H83" s="15">
        <v>0.708333333333333</v>
      </c>
      <c r="I83" s="21">
        <f t="shared" si="4"/>
        <v>4.99999999999999</v>
      </c>
      <c r="J83" s="22">
        <v>15</v>
      </c>
      <c r="K83" s="22">
        <f t="shared" si="5"/>
        <v>74.9999999999999</v>
      </c>
    </row>
    <row r="84" spans="5:11">
      <c r="E84" s="13"/>
      <c r="F84" s="14"/>
      <c r="G84" s="15">
        <v>0.5</v>
      </c>
      <c r="H84" s="15">
        <v>0.708333333333333</v>
      </c>
      <c r="I84" s="24">
        <f t="shared" si="4"/>
        <v>4.99999999999999</v>
      </c>
      <c r="J84" s="25">
        <v>15</v>
      </c>
      <c r="K84" s="25">
        <f t="shared" si="5"/>
        <v>74.9999999999999</v>
      </c>
    </row>
    <row r="85" spans="5:11">
      <c r="E85" s="13"/>
      <c r="F85" s="14" t="s">
        <v>43</v>
      </c>
      <c r="G85" s="58"/>
      <c r="H85" s="58"/>
      <c r="I85" s="24">
        <f t="shared" si="4"/>
        <v>0</v>
      </c>
      <c r="J85" s="25">
        <v>15</v>
      </c>
      <c r="K85" s="25">
        <f t="shared" si="5"/>
        <v>0</v>
      </c>
    </row>
    <row r="86" spans="5:11">
      <c r="E86" s="7" t="s">
        <v>44</v>
      </c>
      <c r="F86" s="8" t="s">
        <v>8</v>
      </c>
      <c r="G86" s="9">
        <v>0.708333333333333</v>
      </c>
      <c r="H86" s="9">
        <v>0.916666666666667</v>
      </c>
      <c r="I86" s="17">
        <f t="shared" si="4"/>
        <v>5.00000000000001</v>
      </c>
      <c r="J86" s="18">
        <v>15</v>
      </c>
      <c r="K86" s="18">
        <f t="shared" si="5"/>
        <v>75.0000000000002</v>
      </c>
    </row>
    <row r="87" spans="5:11">
      <c r="E87" s="10"/>
      <c r="F87" s="11" t="s">
        <v>10</v>
      </c>
      <c r="I87" s="21">
        <f t="shared" si="4"/>
        <v>0</v>
      </c>
      <c r="J87" s="22">
        <v>15</v>
      </c>
      <c r="K87" s="22">
        <f t="shared" si="5"/>
        <v>0</v>
      </c>
    </row>
    <row r="88" spans="5:11">
      <c r="E88" s="10"/>
      <c r="F88" s="11" t="s">
        <v>12</v>
      </c>
      <c r="G88" s="12">
        <v>0.25</v>
      </c>
      <c r="H88" s="12">
        <v>0.458333333333333</v>
      </c>
      <c r="I88" s="21">
        <f t="shared" si="4"/>
        <v>5</v>
      </c>
      <c r="J88" s="22">
        <v>15</v>
      </c>
      <c r="K88" s="22">
        <f t="shared" si="5"/>
        <v>75</v>
      </c>
    </row>
    <row r="89" spans="5:11">
      <c r="E89" s="10"/>
      <c r="F89" s="11" t="s">
        <v>12</v>
      </c>
      <c r="G89" s="12">
        <v>0.708333333333333</v>
      </c>
      <c r="H89" s="12">
        <v>0.916666666666667</v>
      </c>
      <c r="I89" s="21">
        <f t="shared" si="4"/>
        <v>5.00000000000001</v>
      </c>
      <c r="J89" s="22">
        <v>15</v>
      </c>
      <c r="K89" s="22">
        <f t="shared" si="5"/>
        <v>75.0000000000002</v>
      </c>
    </row>
    <row r="90" spans="5:11">
      <c r="E90" s="10"/>
      <c r="F90" s="11" t="s">
        <v>13</v>
      </c>
      <c r="I90" s="21">
        <f t="shared" ref="I90:I123" si="6">(H90-G90)*24</f>
        <v>0</v>
      </c>
      <c r="J90" s="22">
        <v>15</v>
      </c>
      <c r="K90" s="22">
        <f t="shared" ref="K90:K123" si="7">(J90*I90)</f>
        <v>0</v>
      </c>
    </row>
    <row r="91" spans="5:11">
      <c r="E91" s="13"/>
      <c r="F91" s="14" t="s">
        <v>14</v>
      </c>
      <c r="I91" s="21">
        <f t="shared" si="6"/>
        <v>0</v>
      </c>
      <c r="J91" s="22">
        <v>15</v>
      </c>
      <c r="K91" s="22">
        <f t="shared" si="7"/>
        <v>0</v>
      </c>
    </row>
    <row r="92" spans="5:11">
      <c r="E92" s="10"/>
      <c r="F92" s="11" t="s">
        <v>9</v>
      </c>
      <c r="I92" s="21">
        <f t="shared" si="6"/>
        <v>0</v>
      </c>
      <c r="J92" s="22">
        <v>15</v>
      </c>
      <c r="K92" s="22">
        <f t="shared" si="7"/>
        <v>0</v>
      </c>
    </row>
    <row r="93" spans="5:11">
      <c r="E93" s="13" t="s">
        <v>16</v>
      </c>
      <c r="F93" s="14"/>
      <c r="G93" s="12">
        <v>0.277777777777778</v>
      </c>
      <c r="H93" s="12">
        <v>0.708333333333333</v>
      </c>
      <c r="I93" s="24">
        <f t="shared" si="6"/>
        <v>10.3333333333333</v>
      </c>
      <c r="J93" s="25">
        <v>15</v>
      </c>
      <c r="K93" s="25">
        <f t="shared" si="7"/>
        <v>155</v>
      </c>
    </row>
    <row r="94" spans="5:11">
      <c r="E94" s="13"/>
      <c r="F94" s="14" t="s">
        <v>43</v>
      </c>
      <c r="G94" s="58"/>
      <c r="H94" s="58"/>
      <c r="I94" s="24">
        <f t="shared" si="6"/>
        <v>0</v>
      </c>
      <c r="J94" s="25">
        <v>15</v>
      </c>
      <c r="K94" s="25">
        <f t="shared" si="7"/>
        <v>0</v>
      </c>
    </row>
    <row r="95" spans="5:11">
      <c r="E95" s="7" t="s">
        <v>45</v>
      </c>
      <c r="F95" s="8" t="s">
        <v>8</v>
      </c>
      <c r="G95" s="9">
        <v>0.708333333333333</v>
      </c>
      <c r="H95" s="9">
        <v>0.916666666666667</v>
      </c>
      <c r="I95" s="17">
        <f t="shared" si="6"/>
        <v>5.00000000000001</v>
      </c>
      <c r="J95" s="18">
        <v>15</v>
      </c>
      <c r="K95" s="18">
        <f t="shared" si="7"/>
        <v>75.0000000000002</v>
      </c>
    </row>
    <row r="96" spans="5:11">
      <c r="E96" s="10"/>
      <c r="F96" s="11" t="s">
        <v>10</v>
      </c>
      <c r="I96" s="21">
        <f t="shared" si="6"/>
        <v>0</v>
      </c>
      <c r="J96" s="22">
        <v>15</v>
      </c>
      <c r="K96" s="22">
        <f t="shared" si="7"/>
        <v>0</v>
      </c>
    </row>
    <row r="97" spans="5:11">
      <c r="E97" s="10"/>
      <c r="F97" s="11" t="s">
        <v>12</v>
      </c>
      <c r="G97" s="15">
        <v>0.708333333333333</v>
      </c>
      <c r="H97" s="15">
        <v>0.916666666666667</v>
      </c>
      <c r="I97" s="21">
        <f t="shared" si="6"/>
        <v>5.00000000000001</v>
      </c>
      <c r="J97" s="22">
        <v>15</v>
      </c>
      <c r="K97" s="22">
        <f t="shared" si="7"/>
        <v>75.0000000000002</v>
      </c>
    </row>
    <row r="98" spans="5:11">
      <c r="E98" s="10"/>
      <c r="F98" s="11" t="s">
        <v>13</v>
      </c>
      <c r="G98" s="15">
        <v>0.5</v>
      </c>
      <c r="H98" s="15">
        <v>0.708333333333333</v>
      </c>
      <c r="I98" s="21">
        <f t="shared" si="6"/>
        <v>4.99999999999999</v>
      </c>
      <c r="J98" s="22">
        <v>15</v>
      </c>
      <c r="K98" s="22">
        <f t="shared" si="7"/>
        <v>74.9999999999999</v>
      </c>
    </row>
    <row r="99" spans="5:11">
      <c r="E99" s="13"/>
      <c r="F99" s="14" t="s">
        <v>14</v>
      </c>
      <c r="G99" s="15">
        <v>0.5</v>
      </c>
      <c r="H99" s="15">
        <v>0.708333333333333</v>
      </c>
      <c r="I99" s="21">
        <f t="shared" si="6"/>
        <v>4.99999999999999</v>
      </c>
      <c r="J99" s="22">
        <v>15</v>
      </c>
      <c r="K99" s="22">
        <f t="shared" si="7"/>
        <v>74.9999999999999</v>
      </c>
    </row>
    <row r="100" spans="5:11">
      <c r="E100" s="10"/>
      <c r="F100" s="11" t="s">
        <v>9</v>
      </c>
      <c r="I100" s="21">
        <f t="shared" si="6"/>
        <v>0</v>
      </c>
      <c r="J100" s="22">
        <v>15</v>
      </c>
      <c r="K100" s="22">
        <f t="shared" si="7"/>
        <v>0</v>
      </c>
    </row>
    <row r="101" spans="5:11">
      <c r="E101" s="13"/>
      <c r="F101" s="14" t="s">
        <v>46</v>
      </c>
      <c r="G101" s="58"/>
      <c r="H101" s="58"/>
      <c r="I101" s="24">
        <f t="shared" si="6"/>
        <v>0</v>
      </c>
      <c r="J101" s="25">
        <v>15</v>
      </c>
      <c r="K101" s="25">
        <f t="shared" si="7"/>
        <v>0</v>
      </c>
    </row>
    <row r="102" spans="5:11">
      <c r="E102" s="13"/>
      <c r="F102" s="14" t="s">
        <v>43</v>
      </c>
      <c r="G102" s="58"/>
      <c r="H102" s="58"/>
      <c r="I102" s="24">
        <f t="shared" si="6"/>
        <v>0</v>
      </c>
      <c r="J102" s="25">
        <v>15</v>
      </c>
      <c r="K102" s="25">
        <f t="shared" si="7"/>
        <v>0</v>
      </c>
    </row>
    <row r="103" spans="5:11">
      <c r="E103" s="7" t="s">
        <v>47</v>
      </c>
      <c r="F103" s="8" t="s">
        <v>8</v>
      </c>
      <c r="G103" s="54"/>
      <c r="H103" s="54"/>
      <c r="I103" s="17">
        <f t="shared" si="6"/>
        <v>0</v>
      </c>
      <c r="J103" s="18">
        <v>15</v>
      </c>
      <c r="K103" s="18">
        <f t="shared" si="7"/>
        <v>0</v>
      </c>
    </row>
    <row r="104" spans="5:11">
      <c r="E104" s="10"/>
      <c r="F104" s="11" t="s">
        <v>10</v>
      </c>
      <c r="I104" s="21">
        <f t="shared" si="6"/>
        <v>0</v>
      </c>
      <c r="J104" s="22">
        <v>15</v>
      </c>
      <c r="K104" s="22">
        <f t="shared" si="7"/>
        <v>0</v>
      </c>
    </row>
    <row r="105" spans="5:11">
      <c r="E105" s="10"/>
      <c r="F105" s="11" t="s">
        <v>12</v>
      </c>
      <c r="I105" s="21">
        <f t="shared" si="6"/>
        <v>0</v>
      </c>
      <c r="J105" s="22">
        <v>15</v>
      </c>
      <c r="K105" s="22">
        <f t="shared" si="7"/>
        <v>0</v>
      </c>
    </row>
    <row r="106" spans="5:11">
      <c r="E106" s="10"/>
      <c r="F106" s="11" t="s">
        <v>13</v>
      </c>
      <c r="I106" s="21">
        <f t="shared" si="6"/>
        <v>0</v>
      </c>
      <c r="J106" s="22">
        <v>15</v>
      </c>
      <c r="K106" s="22">
        <f t="shared" si="7"/>
        <v>0</v>
      </c>
    </row>
    <row r="107" spans="5:11">
      <c r="E107" s="13"/>
      <c r="F107" s="14" t="s">
        <v>14</v>
      </c>
      <c r="G107" s="15">
        <v>0.5</v>
      </c>
      <c r="H107" s="15">
        <v>0.708333333333333</v>
      </c>
      <c r="I107" s="21">
        <f t="shared" si="6"/>
        <v>4.99999999999999</v>
      </c>
      <c r="J107" s="22">
        <v>15</v>
      </c>
      <c r="K107" s="22">
        <f t="shared" si="7"/>
        <v>74.9999999999999</v>
      </c>
    </row>
    <row r="108" spans="5:11">
      <c r="E108" s="10"/>
      <c r="F108" s="11" t="s">
        <v>9</v>
      </c>
      <c r="G108" s="12">
        <v>0.25</v>
      </c>
      <c r="H108" s="12">
        <v>0.5</v>
      </c>
      <c r="I108" s="21">
        <f t="shared" si="6"/>
        <v>6</v>
      </c>
      <c r="J108" s="22">
        <v>15</v>
      </c>
      <c r="K108" s="22">
        <f t="shared" si="7"/>
        <v>90</v>
      </c>
    </row>
    <row r="109" spans="5:11">
      <c r="E109" s="13"/>
      <c r="F109" s="14" t="s">
        <v>9</v>
      </c>
      <c r="G109" s="15">
        <v>0.708333333333333</v>
      </c>
      <c r="H109" s="15">
        <v>0.916666666666667</v>
      </c>
      <c r="I109" s="21">
        <f t="shared" si="6"/>
        <v>5.00000000000001</v>
      </c>
      <c r="J109" s="22">
        <v>15</v>
      </c>
      <c r="K109" s="22">
        <f t="shared" si="7"/>
        <v>75.0000000000002</v>
      </c>
    </row>
    <row r="110" spans="5:11">
      <c r="E110" s="13"/>
      <c r="F110" s="14" t="s">
        <v>46</v>
      </c>
      <c r="G110" s="12">
        <v>0.25</v>
      </c>
      <c r="H110" s="12">
        <v>0.5</v>
      </c>
      <c r="I110" s="24">
        <f t="shared" si="6"/>
        <v>6</v>
      </c>
      <c r="J110" s="25">
        <v>15</v>
      </c>
      <c r="K110" s="25">
        <f t="shared" si="7"/>
        <v>90</v>
      </c>
    </row>
    <row r="111" spans="5:11">
      <c r="E111" s="7" t="s">
        <v>48</v>
      </c>
      <c r="F111" s="8" t="s">
        <v>8</v>
      </c>
      <c r="G111" s="9">
        <v>0.458333333333333</v>
      </c>
      <c r="H111" s="9">
        <v>0.916666666666667</v>
      </c>
      <c r="I111" s="17">
        <f t="shared" si="6"/>
        <v>11</v>
      </c>
      <c r="J111" s="18">
        <v>15</v>
      </c>
      <c r="K111" s="18">
        <f t="shared" si="7"/>
        <v>165</v>
      </c>
    </row>
    <row r="112" spans="5:11">
      <c r="E112" s="10"/>
      <c r="F112" s="11" t="s">
        <v>10</v>
      </c>
      <c r="I112" s="21">
        <f t="shared" si="6"/>
        <v>0</v>
      </c>
      <c r="J112" s="22">
        <v>15</v>
      </c>
      <c r="K112" s="22">
        <f t="shared" si="7"/>
        <v>0</v>
      </c>
    </row>
    <row r="113" spans="5:11">
      <c r="E113" s="10"/>
      <c r="F113" s="11" t="s">
        <v>12</v>
      </c>
      <c r="I113" s="21">
        <f t="shared" si="6"/>
        <v>0</v>
      </c>
      <c r="J113" s="22">
        <v>15</v>
      </c>
      <c r="K113" s="22">
        <f t="shared" si="7"/>
        <v>0</v>
      </c>
    </row>
    <row r="114" spans="5:11">
      <c r="E114" s="10"/>
      <c r="F114" s="11" t="s">
        <v>13</v>
      </c>
      <c r="I114" s="21">
        <f t="shared" si="6"/>
        <v>0</v>
      </c>
      <c r="J114" s="22">
        <v>15</v>
      </c>
      <c r="K114" s="22">
        <f t="shared" si="7"/>
        <v>0</v>
      </c>
    </row>
    <row r="115" spans="5:11">
      <c r="E115" s="13"/>
      <c r="F115" s="14" t="s">
        <v>14</v>
      </c>
      <c r="G115" s="15">
        <v>0.708333333333333</v>
      </c>
      <c r="H115" s="15">
        <v>0.916666666666667</v>
      </c>
      <c r="I115" s="21">
        <f t="shared" si="6"/>
        <v>5.00000000000001</v>
      </c>
      <c r="J115" s="22">
        <v>15</v>
      </c>
      <c r="K115" s="22">
        <f t="shared" si="7"/>
        <v>75.0000000000002</v>
      </c>
    </row>
    <row r="116" spans="5:11">
      <c r="E116" s="10"/>
      <c r="F116" s="11" t="s">
        <v>9</v>
      </c>
      <c r="I116" s="21">
        <f t="shared" si="6"/>
        <v>0</v>
      </c>
      <c r="J116" s="22">
        <v>15</v>
      </c>
      <c r="K116" s="22">
        <f t="shared" si="7"/>
        <v>0</v>
      </c>
    </row>
    <row r="117" spans="5:11">
      <c r="E117" s="13"/>
      <c r="F117" s="14" t="s">
        <v>46</v>
      </c>
      <c r="G117" s="58"/>
      <c r="H117" s="58"/>
      <c r="I117" s="24">
        <f t="shared" si="6"/>
        <v>0</v>
      </c>
      <c r="J117" s="25">
        <v>15</v>
      </c>
      <c r="K117" s="25">
        <f t="shared" si="7"/>
        <v>0</v>
      </c>
    </row>
    <row r="118" spans="5:11">
      <c r="E118" s="7" t="s">
        <v>49</v>
      </c>
      <c r="F118" s="8" t="s">
        <v>8</v>
      </c>
      <c r="G118" s="54"/>
      <c r="H118" s="54"/>
      <c r="I118" s="17">
        <f t="shared" si="6"/>
        <v>0</v>
      </c>
      <c r="J118" s="18">
        <v>15</v>
      </c>
      <c r="K118" s="18">
        <f t="shared" si="7"/>
        <v>0</v>
      </c>
    </row>
    <row r="119" spans="5:11">
      <c r="E119" s="10"/>
      <c r="F119" s="11" t="s">
        <v>10</v>
      </c>
      <c r="G119" s="12">
        <v>0.25</v>
      </c>
      <c r="H119" s="12">
        <v>0.458333333333333</v>
      </c>
      <c r="I119" s="21">
        <f t="shared" si="6"/>
        <v>5</v>
      </c>
      <c r="J119" s="22">
        <v>15</v>
      </c>
      <c r="K119" s="22">
        <f t="shared" si="7"/>
        <v>75</v>
      </c>
    </row>
    <row r="120" spans="5:11">
      <c r="E120" s="10"/>
      <c r="F120" s="11" t="s">
        <v>12</v>
      </c>
      <c r="G120" s="12">
        <v>0.25</v>
      </c>
      <c r="H120" s="12">
        <v>0.458333333333333</v>
      </c>
      <c r="I120" s="21">
        <f t="shared" ref="I120:I145" si="8">(H120-G120)*24</f>
        <v>4.99999999999999</v>
      </c>
      <c r="J120" s="22">
        <v>15</v>
      </c>
      <c r="K120" s="22">
        <f t="shared" ref="K120:K145" si="9">(J120*I120)</f>
        <v>74.9999999999999</v>
      </c>
    </row>
    <row r="121" spans="5:11">
      <c r="E121" s="10"/>
      <c r="F121" s="11" t="s">
        <v>13</v>
      </c>
      <c r="G121" s="15">
        <v>0.708333333333333</v>
      </c>
      <c r="H121" s="15">
        <v>0.916666666666667</v>
      </c>
      <c r="I121" s="21">
        <f t="shared" si="8"/>
        <v>5.00000000000001</v>
      </c>
      <c r="J121" s="22">
        <v>15</v>
      </c>
      <c r="K121" s="22">
        <f t="shared" si="9"/>
        <v>75.0000000000002</v>
      </c>
    </row>
    <row r="122" spans="5:11">
      <c r="E122" s="13"/>
      <c r="F122" s="14" t="s">
        <v>14</v>
      </c>
      <c r="G122" s="15">
        <v>0.708333333333333</v>
      </c>
      <c r="H122" s="15">
        <v>0.916666666666667</v>
      </c>
      <c r="I122" s="21">
        <f t="shared" si="8"/>
        <v>5.00000000000001</v>
      </c>
      <c r="J122" s="22">
        <v>15</v>
      </c>
      <c r="K122" s="22">
        <f t="shared" si="9"/>
        <v>75.0000000000002</v>
      </c>
    </row>
    <row r="123" spans="5:11">
      <c r="E123" s="10"/>
      <c r="F123" s="11" t="s">
        <v>9</v>
      </c>
      <c r="G123" s="15">
        <v>0.541666666666667</v>
      </c>
      <c r="H123" s="15">
        <v>0.75</v>
      </c>
      <c r="I123" s="21">
        <f t="shared" si="8"/>
        <v>4.99999999999999</v>
      </c>
      <c r="J123" s="22">
        <v>15</v>
      </c>
      <c r="K123" s="22">
        <f t="shared" si="9"/>
        <v>74.9999999999999</v>
      </c>
    </row>
    <row r="124" spans="5:11">
      <c r="E124" s="13"/>
      <c r="F124" s="14" t="s">
        <v>34</v>
      </c>
      <c r="G124" s="15">
        <v>0.5</v>
      </c>
      <c r="H124" s="15">
        <v>0.708333333333333</v>
      </c>
      <c r="I124" s="24">
        <f t="shared" si="8"/>
        <v>4.99999999999999</v>
      </c>
      <c r="J124" s="25">
        <v>15</v>
      </c>
      <c r="K124" s="25">
        <f t="shared" si="9"/>
        <v>74.9999999999999</v>
      </c>
    </row>
    <row r="125" spans="5:11">
      <c r="E125" s="7" t="s">
        <v>50</v>
      </c>
      <c r="F125" s="8" t="s">
        <v>8</v>
      </c>
      <c r="G125" s="9">
        <v>0.25</v>
      </c>
      <c r="H125" s="9">
        <v>0.5</v>
      </c>
      <c r="I125" s="17">
        <f t="shared" si="8"/>
        <v>6</v>
      </c>
      <c r="J125" s="18">
        <v>15</v>
      </c>
      <c r="K125" s="18">
        <f t="shared" si="9"/>
        <v>90</v>
      </c>
    </row>
    <row r="126" spans="5:11">
      <c r="E126" s="10"/>
      <c r="F126" s="11" t="s">
        <v>10</v>
      </c>
      <c r="I126" s="21">
        <f t="shared" si="8"/>
        <v>0</v>
      </c>
      <c r="J126" s="22">
        <v>15</v>
      </c>
      <c r="K126" s="22">
        <f t="shared" si="9"/>
        <v>0</v>
      </c>
    </row>
    <row r="127" spans="5:11">
      <c r="E127" s="10"/>
      <c r="F127" s="11" t="s">
        <v>12</v>
      </c>
      <c r="G127" s="15">
        <v>0.708333333333333</v>
      </c>
      <c r="H127" s="15">
        <v>0.916666666666667</v>
      </c>
      <c r="I127" s="21">
        <f t="shared" si="8"/>
        <v>5.00000000000001</v>
      </c>
      <c r="J127" s="22">
        <v>15</v>
      </c>
      <c r="K127" s="22">
        <f t="shared" si="9"/>
        <v>75.0000000000002</v>
      </c>
    </row>
    <row r="128" spans="5:11">
      <c r="E128" s="10"/>
      <c r="F128" s="11" t="s">
        <v>13</v>
      </c>
      <c r="I128" s="21">
        <f t="shared" si="8"/>
        <v>0</v>
      </c>
      <c r="J128" s="22">
        <v>15</v>
      </c>
      <c r="K128" s="22">
        <f t="shared" si="9"/>
        <v>0</v>
      </c>
    </row>
    <row r="129" spans="5:11">
      <c r="E129" s="13"/>
      <c r="F129" s="14" t="s">
        <v>14</v>
      </c>
      <c r="G129" s="15">
        <v>0.708333333333333</v>
      </c>
      <c r="H129" s="15">
        <v>0.916666666666667</v>
      </c>
      <c r="I129" s="21">
        <f t="shared" si="8"/>
        <v>5.00000000000001</v>
      </c>
      <c r="J129" s="22">
        <v>15</v>
      </c>
      <c r="K129" s="22">
        <f t="shared" si="9"/>
        <v>75.0000000000002</v>
      </c>
    </row>
    <row r="130" spans="5:11">
      <c r="E130" s="10"/>
      <c r="F130" s="11" t="s">
        <v>9</v>
      </c>
      <c r="G130" s="12">
        <v>0.25</v>
      </c>
      <c r="H130" s="12">
        <v>0.5</v>
      </c>
      <c r="I130" s="21">
        <f t="shared" si="8"/>
        <v>6</v>
      </c>
      <c r="J130" s="22">
        <v>15</v>
      </c>
      <c r="K130" s="22">
        <f t="shared" si="9"/>
        <v>90</v>
      </c>
    </row>
    <row r="131" spans="5:11">
      <c r="E131" s="13"/>
      <c r="F131" s="14" t="s">
        <v>33</v>
      </c>
      <c r="G131" s="15">
        <v>0.5</v>
      </c>
      <c r="H131" s="15">
        <v>0.708333333333333</v>
      </c>
      <c r="I131" s="24">
        <f t="shared" si="8"/>
        <v>4.99999999999999</v>
      </c>
      <c r="J131" s="25">
        <v>15</v>
      </c>
      <c r="K131" s="25">
        <f t="shared" si="9"/>
        <v>74.9999999999999</v>
      </c>
    </row>
    <row r="132" spans="5:11">
      <c r="E132" s="7" t="s">
        <v>51</v>
      </c>
      <c r="F132" s="8" t="s">
        <v>8</v>
      </c>
      <c r="G132" s="61">
        <v>0.708333333333333</v>
      </c>
      <c r="H132" s="61">
        <v>0.916666666666667</v>
      </c>
      <c r="I132" s="17">
        <f t="shared" si="8"/>
        <v>5.00000000000001</v>
      </c>
      <c r="J132" s="18">
        <v>15</v>
      </c>
      <c r="K132" s="18">
        <f t="shared" si="9"/>
        <v>75.0000000000002</v>
      </c>
    </row>
    <row r="133" spans="5:11">
      <c r="E133" s="10"/>
      <c r="F133" s="11" t="s">
        <v>10</v>
      </c>
      <c r="G133" s="15">
        <v>0.708333333333333</v>
      </c>
      <c r="H133" s="15">
        <v>0.916666666666667</v>
      </c>
      <c r="I133" s="21">
        <f t="shared" si="8"/>
        <v>5.00000000000001</v>
      </c>
      <c r="J133" s="22">
        <v>15</v>
      </c>
      <c r="K133" s="22">
        <f t="shared" si="9"/>
        <v>75.0000000000002</v>
      </c>
    </row>
    <row r="134" spans="5:11">
      <c r="E134" s="10"/>
      <c r="F134" s="11" t="s">
        <v>34</v>
      </c>
      <c r="G134" s="12">
        <v>0.25</v>
      </c>
      <c r="H134" s="12">
        <v>0.5</v>
      </c>
      <c r="I134" s="21">
        <f t="shared" si="8"/>
        <v>6</v>
      </c>
      <c r="J134" s="22">
        <v>15</v>
      </c>
      <c r="K134" s="22">
        <f t="shared" si="9"/>
        <v>90</v>
      </c>
    </row>
    <row r="135" spans="5:11">
      <c r="E135" s="10"/>
      <c r="F135" s="11" t="s">
        <v>34</v>
      </c>
      <c r="G135" s="15">
        <v>0.5</v>
      </c>
      <c r="H135" s="15">
        <v>0.708333333333333</v>
      </c>
      <c r="I135" s="21">
        <f t="shared" si="8"/>
        <v>4.99999999999999</v>
      </c>
      <c r="J135" s="22">
        <v>15</v>
      </c>
      <c r="K135" s="22">
        <f t="shared" si="9"/>
        <v>74.9999999999999</v>
      </c>
    </row>
    <row r="136" spans="5:11">
      <c r="E136" s="10"/>
      <c r="F136" s="11" t="s">
        <v>13</v>
      </c>
      <c r="G136" s="12">
        <v>0.25</v>
      </c>
      <c r="H136" s="12">
        <v>0.5</v>
      </c>
      <c r="I136" s="21">
        <f t="shared" si="8"/>
        <v>6</v>
      </c>
      <c r="J136" s="22">
        <v>15</v>
      </c>
      <c r="K136" s="22">
        <f t="shared" si="9"/>
        <v>90</v>
      </c>
    </row>
    <row r="137" spans="5:11">
      <c r="E137" s="13"/>
      <c r="F137" s="14" t="s">
        <v>14</v>
      </c>
      <c r="G137" s="12">
        <v>0.25</v>
      </c>
      <c r="H137" s="12">
        <v>0.5</v>
      </c>
      <c r="I137" s="21">
        <f t="shared" si="8"/>
        <v>6</v>
      </c>
      <c r="J137" s="22">
        <v>15</v>
      </c>
      <c r="K137" s="22">
        <f t="shared" si="9"/>
        <v>90</v>
      </c>
    </row>
    <row r="138" spans="5:11">
      <c r="E138" s="10"/>
      <c r="F138" s="11" t="s">
        <v>9</v>
      </c>
      <c r="G138" s="15">
        <v>0.5</v>
      </c>
      <c r="H138" s="15">
        <v>0.708333333333333</v>
      </c>
      <c r="I138" s="21">
        <f t="shared" si="8"/>
        <v>4.99999999999999</v>
      </c>
      <c r="J138" s="22">
        <v>15</v>
      </c>
      <c r="K138" s="22">
        <f t="shared" si="9"/>
        <v>74.9999999999999</v>
      </c>
    </row>
    <row r="139" spans="5:11">
      <c r="E139" s="13"/>
      <c r="F139" s="14" t="s">
        <v>33</v>
      </c>
      <c r="G139" s="15">
        <v>0.5</v>
      </c>
      <c r="H139" s="15">
        <v>0.708333333333333</v>
      </c>
      <c r="I139" s="24">
        <f t="shared" si="8"/>
        <v>4.99999999999999</v>
      </c>
      <c r="J139" s="25">
        <v>15</v>
      </c>
      <c r="K139" s="25">
        <f t="shared" si="9"/>
        <v>74.9999999999999</v>
      </c>
    </row>
    <row r="140" spans="5:11">
      <c r="E140" s="7" t="s">
        <v>52</v>
      </c>
      <c r="F140" s="8" t="s">
        <v>8</v>
      </c>
      <c r="G140" s="9">
        <v>0.25</v>
      </c>
      <c r="H140" s="9">
        <v>0.458333333333333</v>
      </c>
      <c r="I140" s="17">
        <f t="shared" si="8"/>
        <v>5</v>
      </c>
      <c r="J140" s="18">
        <v>15</v>
      </c>
      <c r="K140" s="18">
        <f t="shared" si="9"/>
        <v>75</v>
      </c>
    </row>
    <row r="141" spans="5:11">
      <c r="E141" s="10"/>
      <c r="F141" s="11" t="s">
        <v>8</v>
      </c>
      <c r="G141" s="15">
        <v>0.708333333333333</v>
      </c>
      <c r="H141" s="15">
        <v>0.916666666666667</v>
      </c>
      <c r="I141" s="24">
        <f t="shared" si="8"/>
        <v>5.00000000000001</v>
      </c>
      <c r="J141" s="25">
        <v>15</v>
      </c>
      <c r="K141" s="25">
        <f t="shared" si="9"/>
        <v>75.0000000000002</v>
      </c>
    </row>
    <row r="142" spans="5:11">
      <c r="E142" s="10"/>
      <c r="F142" s="11" t="s">
        <v>10</v>
      </c>
      <c r="I142" s="21">
        <f t="shared" si="8"/>
        <v>0</v>
      </c>
      <c r="J142" s="22">
        <v>15</v>
      </c>
      <c r="K142" s="22">
        <f t="shared" si="9"/>
        <v>0</v>
      </c>
    </row>
    <row r="143" spans="5:11">
      <c r="E143" s="10"/>
      <c r="F143" s="11" t="s">
        <v>12</v>
      </c>
      <c r="G143" s="12">
        <v>0.25</v>
      </c>
      <c r="H143" s="12">
        <v>0.5</v>
      </c>
      <c r="I143" s="21">
        <f t="shared" si="8"/>
        <v>6</v>
      </c>
      <c r="J143" s="22">
        <v>15</v>
      </c>
      <c r="K143" s="22">
        <f t="shared" si="9"/>
        <v>90</v>
      </c>
    </row>
    <row r="144" spans="5:11">
      <c r="E144" s="10"/>
      <c r="F144" s="11" t="s">
        <v>13</v>
      </c>
      <c r="G144" s="15">
        <v>0.5</v>
      </c>
      <c r="H144" s="15">
        <v>0.708333333333333</v>
      </c>
      <c r="I144" s="21">
        <f t="shared" ref="I144:I207" si="10">(H144-G144)*24</f>
        <v>4.99999999999999</v>
      </c>
      <c r="J144" s="22">
        <v>15</v>
      </c>
      <c r="K144" s="22">
        <f t="shared" ref="K144:K207" si="11">(J144*I144)</f>
        <v>74.9999999999999</v>
      </c>
    </row>
    <row r="145" spans="5:11">
      <c r="E145" s="13"/>
      <c r="F145" s="14" t="s">
        <v>14</v>
      </c>
      <c r="G145" s="15">
        <v>0.5</v>
      </c>
      <c r="H145" s="15">
        <v>0.708333333333333</v>
      </c>
      <c r="I145" s="21">
        <f t="shared" si="10"/>
        <v>4.99999999999999</v>
      </c>
      <c r="J145" s="22">
        <v>15</v>
      </c>
      <c r="K145" s="22">
        <f t="shared" si="11"/>
        <v>74.9999999999999</v>
      </c>
    </row>
    <row r="146" spans="5:11">
      <c r="E146" s="10"/>
      <c r="F146" s="11" t="s">
        <v>9</v>
      </c>
      <c r="I146" s="21">
        <f t="shared" si="10"/>
        <v>0</v>
      </c>
      <c r="J146" s="22">
        <v>15</v>
      </c>
      <c r="K146" s="22">
        <f t="shared" si="11"/>
        <v>0</v>
      </c>
    </row>
    <row r="147" spans="5:11">
      <c r="E147" s="13"/>
      <c r="F147" s="14" t="s">
        <v>33</v>
      </c>
      <c r="G147" s="15">
        <v>0.708333333333333</v>
      </c>
      <c r="H147" s="15">
        <v>0.916666666666667</v>
      </c>
      <c r="I147" s="24">
        <f t="shared" si="10"/>
        <v>5.00000000000001</v>
      </c>
      <c r="J147" s="25">
        <v>15</v>
      </c>
      <c r="K147" s="25">
        <f t="shared" si="11"/>
        <v>75.0000000000002</v>
      </c>
    </row>
    <row r="148" spans="6:11">
      <c r="F148" s="11" t="s">
        <v>34</v>
      </c>
      <c r="I148" s="24">
        <f t="shared" si="10"/>
        <v>0</v>
      </c>
      <c r="J148" s="25">
        <v>15</v>
      </c>
      <c r="K148" s="25">
        <f t="shared" si="11"/>
        <v>0</v>
      </c>
    </row>
    <row r="149" spans="5:11">
      <c r="E149" s="7" t="s">
        <v>53</v>
      </c>
      <c r="F149" s="8" t="s">
        <v>8</v>
      </c>
      <c r="G149" s="9">
        <v>0.25</v>
      </c>
      <c r="H149" s="9">
        <v>0.354166666666667</v>
      </c>
      <c r="I149" s="17">
        <f t="shared" si="10"/>
        <v>2.50000000000001</v>
      </c>
      <c r="J149" s="18">
        <v>15</v>
      </c>
      <c r="K149" s="18">
        <f t="shared" si="11"/>
        <v>37.5000000000001</v>
      </c>
    </row>
    <row r="150" spans="5:11">
      <c r="E150" s="10"/>
      <c r="F150" s="11" t="s">
        <v>10</v>
      </c>
      <c r="G150" s="15">
        <v>0.708333333333333</v>
      </c>
      <c r="H150" s="15">
        <v>0.916666666666667</v>
      </c>
      <c r="I150" s="21">
        <f t="shared" si="10"/>
        <v>5.00000000000001</v>
      </c>
      <c r="J150" s="22">
        <v>15</v>
      </c>
      <c r="K150" s="22">
        <f t="shared" si="11"/>
        <v>75.0000000000002</v>
      </c>
    </row>
    <row r="151" spans="5:11">
      <c r="E151" s="10"/>
      <c r="F151" s="11" t="s">
        <v>12</v>
      </c>
      <c r="G151" s="15">
        <v>0.708333333333333</v>
      </c>
      <c r="H151" s="15">
        <v>0.916666666666667</v>
      </c>
      <c r="I151" s="21">
        <f t="shared" si="10"/>
        <v>5.00000000000001</v>
      </c>
      <c r="J151" s="22">
        <v>15</v>
      </c>
      <c r="K151" s="22">
        <f t="shared" si="11"/>
        <v>75.0000000000002</v>
      </c>
    </row>
    <row r="152" spans="5:11">
      <c r="E152" s="10"/>
      <c r="F152" s="11" t="s">
        <v>13</v>
      </c>
      <c r="G152" s="15">
        <v>0.5</v>
      </c>
      <c r="H152" s="15">
        <v>0.708333333333333</v>
      </c>
      <c r="I152" s="21">
        <f t="shared" si="10"/>
        <v>4.99999999999999</v>
      </c>
      <c r="J152" s="22">
        <v>15</v>
      </c>
      <c r="K152" s="22">
        <f t="shared" si="11"/>
        <v>74.9999999999999</v>
      </c>
    </row>
    <row r="153" spans="5:11">
      <c r="E153" s="13"/>
      <c r="F153" s="14" t="s">
        <v>14</v>
      </c>
      <c r="I153" s="21">
        <f t="shared" si="10"/>
        <v>0</v>
      </c>
      <c r="J153" s="22">
        <v>15</v>
      </c>
      <c r="K153" s="22">
        <f t="shared" si="11"/>
        <v>0</v>
      </c>
    </row>
    <row r="154" spans="5:11">
      <c r="E154" s="10"/>
      <c r="F154" s="11" t="s">
        <v>9</v>
      </c>
      <c r="I154" s="21">
        <f t="shared" si="10"/>
        <v>0</v>
      </c>
      <c r="J154" s="22">
        <v>15</v>
      </c>
      <c r="K154" s="22">
        <f t="shared" si="11"/>
        <v>0</v>
      </c>
    </row>
    <row r="155" spans="5:11">
      <c r="E155" s="13"/>
      <c r="F155" s="14" t="s">
        <v>33</v>
      </c>
      <c r="G155" s="58"/>
      <c r="H155" s="58"/>
      <c r="I155" s="24">
        <f t="shared" si="10"/>
        <v>0</v>
      </c>
      <c r="J155" s="25">
        <v>15</v>
      </c>
      <c r="K155" s="25">
        <f t="shared" si="11"/>
        <v>0</v>
      </c>
    </row>
    <row r="156" spans="6:11">
      <c r="F156" s="11" t="s">
        <v>34</v>
      </c>
      <c r="I156" s="24">
        <f t="shared" si="10"/>
        <v>0</v>
      </c>
      <c r="J156" s="25">
        <v>15</v>
      </c>
      <c r="K156" s="25">
        <f t="shared" si="11"/>
        <v>0</v>
      </c>
    </row>
    <row r="157" spans="5:11">
      <c r="E157" s="7" t="s">
        <v>54</v>
      </c>
      <c r="F157" s="8" t="s">
        <v>8</v>
      </c>
      <c r="G157" s="9">
        <v>0.25</v>
      </c>
      <c r="H157" s="9">
        <v>0.5</v>
      </c>
      <c r="I157" s="17">
        <f t="shared" si="10"/>
        <v>6</v>
      </c>
      <c r="J157" s="18">
        <v>15</v>
      </c>
      <c r="K157" s="18">
        <f t="shared" si="11"/>
        <v>90</v>
      </c>
    </row>
    <row r="158" spans="5:11">
      <c r="E158" s="10"/>
      <c r="F158" s="11" t="s">
        <v>10</v>
      </c>
      <c r="G158" s="15">
        <v>0.5</v>
      </c>
      <c r="H158" s="15">
        <v>0.916666666666667</v>
      </c>
      <c r="I158" s="21">
        <f t="shared" si="10"/>
        <v>10</v>
      </c>
      <c r="J158" s="22">
        <v>15</v>
      </c>
      <c r="K158" s="22">
        <f t="shared" si="11"/>
        <v>150</v>
      </c>
    </row>
    <row r="159" spans="5:11">
      <c r="E159" s="10"/>
      <c r="F159" s="11" t="s">
        <v>12</v>
      </c>
      <c r="G159" s="12">
        <v>0.25</v>
      </c>
      <c r="H159" s="12">
        <v>0.708333333333333</v>
      </c>
      <c r="I159" s="21">
        <f t="shared" si="10"/>
        <v>11</v>
      </c>
      <c r="J159" s="22">
        <v>15</v>
      </c>
      <c r="K159" s="22">
        <f t="shared" si="11"/>
        <v>165</v>
      </c>
    </row>
    <row r="160" spans="5:11">
      <c r="E160" s="10"/>
      <c r="F160" s="11" t="s">
        <v>13</v>
      </c>
      <c r="I160" s="21">
        <f t="shared" si="10"/>
        <v>0</v>
      </c>
      <c r="J160" s="22">
        <v>15</v>
      </c>
      <c r="K160" s="22">
        <f t="shared" si="11"/>
        <v>0</v>
      </c>
    </row>
    <row r="161" spans="5:11">
      <c r="E161" s="13"/>
      <c r="F161" s="14" t="s">
        <v>14</v>
      </c>
      <c r="G161" s="15">
        <v>0.708333333333333</v>
      </c>
      <c r="H161" s="15">
        <v>0.916666666666667</v>
      </c>
      <c r="I161" s="21">
        <f t="shared" si="10"/>
        <v>5.00000000000001</v>
      </c>
      <c r="J161" s="22">
        <v>15</v>
      </c>
      <c r="K161" s="22">
        <f t="shared" si="11"/>
        <v>75.0000000000002</v>
      </c>
    </row>
    <row r="162" spans="5:11">
      <c r="E162" s="10"/>
      <c r="F162" s="11" t="s">
        <v>9</v>
      </c>
      <c r="I162" s="21">
        <f t="shared" si="10"/>
        <v>0</v>
      </c>
      <c r="J162" s="22">
        <v>15</v>
      </c>
      <c r="K162" s="22">
        <f t="shared" si="11"/>
        <v>0</v>
      </c>
    </row>
    <row r="163" spans="5:11">
      <c r="E163" s="13"/>
      <c r="F163" s="14" t="s">
        <v>33</v>
      </c>
      <c r="G163" s="58"/>
      <c r="H163" s="58"/>
      <c r="I163" s="24">
        <f t="shared" si="10"/>
        <v>0</v>
      </c>
      <c r="J163" s="25">
        <v>15</v>
      </c>
      <c r="K163" s="25">
        <f t="shared" si="11"/>
        <v>0</v>
      </c>
    </row>
    <row r="164" spans="6:11">
      <c r="F164" s="11" t="s">
        <v>34</v>
      </c>
      <c r="I164" s="24">
        <f t="shared" si="10"/>
        <v>0</v>
      </c>
      <c r="J164" s="25">
        <v>15</v>
      </c>
      <c r="K164" s="25">
        <f t="shared" si="11"/>
        <v>0</v>
      </c>
    </row>
    <row r="165" spans="5:11">
      <c r="E165" s="7" t="s">
        <v>55</v>
      </c>
      <c r="F165" s="8" t="s">
        <v>8</v>
      </c>
      <c r="G165" s="54"/>
      <c r="H165" s="54"/>
      <c r="I165" s="17">
        <f t="shared" si="10"/>
        <v>0</v>
      </c>
      <c r="J165" s="18">
        <v>15</v>
      </c>
      <c r="K165" s="18">
        <f t="shared" si="11"/>
        <v>0</v>
      </c>
    </row>
    <row r="166" spans="5:11">
      <c r="E166" s="10"/>
      <c r="F166" s="11" t="s">
        <v>10</v>
      </c>
      <c r="G166" s="12">
        <v>0.25</v>
      </c>
      <c r="H166" s="12">
        <v>0.375</v>
      </c>
      <c r="I166" s="21">
        <f t="shared" si="10"/>
        <v>3</v>
      </c>
      <c r="J166" s="22">
        <v>15</v>
      </c>
      <c r="K166" s="22">
        <f t="shared" si="11"/>
        <v>45</v>
      </c>
    </row>
    <row r="167" spans="5:11">
      <c r="E167" s="10"/>
      <c r="F167" s="11" t="s">
        <v>12</v>
      </c>
      <c r="G167" s="12">
        <v>0.5</v>
      </c>
      <c r="H167" s="12">
        <v>0.916666666666667</v>
      </c>
      <c r="I167" s="21">
        <f t="shared" si="10"/>
        <v>10</v>
      </c>
      <c r="J167" s="22">
        <v>15</v>
      </c>
      <c r="K167" s="22">
        <f t="shared" si="11"/>
        <v>150</v>
      </c>
    </row>
    <row r="168" spans="5:11">
      <c r="E168" s="10"/>
      <c r="F168" s="11" t="s">
        <v>13</v>
      </c>
      <c r="I168" s="21">
        <f t="shared" si="10"/>
        <v>0</v>
      </c>
      <c r="J168" s="22">
        <v>15</v>
      </c>
      <c r="K168" s="22">
        <f t="shared" si="11"/>
        <v>0</v>
      </c>
    </row>
    <row r="169" spans="5:11">
      <c r="E169" s="13"/>
      <c r="F169" s="14" t="s">
        <v>14</v>
      </c>
      <c r="I169" s="21">
        <f t="shared" si="10"/>
        <v>0</v>
      </c>
      <c r="J169" s="22">
        <v>15</v>
      </c>
      <c r="K169" s="22">
        <f t="shared" si="11"/>
        <v>0</v>
      </c>
    </row>
    <row r="170" spans="5:11">
      <c r="E170" s="10"/>
      <c r="F170" s="11" t="s">
        <v>9</v>
      </c>
      <c r="I170" s="21">
        <f t="shared" si="10"/>
        <v>0</v>
      </c>
      <c r="J170" s="22">
        <v>15</v>
      </c>
      <c r="K170" s="22">
        <f t="shared" si="11"/>
        <v>0</v>
      </c>
    </row>
    <row r="171" spans="5:11">
      <c r="E171" s="13"/>
      <c r="F171" s="14" t="s">
        <v>33</v>
      </c>
      <c r="G171" s="12">
        <v>0.5</v>
      </c>
      <c r="H171" s="12">
        <v>0.708333333333333</v>
      </c>
      <c r="I171" s="24">
        <f t="shared" si="10"/>
        <v>4.99999999999999</v>
      </c>
      <c r="J171" s="25">
        <v>15</v>
      </c>
      <c r="K171" s="25">
        <f t="shared" si="11"/>
        <v>74.9999999999999</v>
      </c>
    </row>
    <row r="172" spans="6:11">
      <c r="F172" s="11" t="s">
        <v>34</v>
      </c>
      <c r="I172" s="24">
        <f t="shared" si="10"/>
        <v>0</v>
      </c>
      <c r="J172" s="25">
        <v>15</v>
      </c>
      <c r="K172" s="25">
        <f t="shared" si="11"/>
        <v>0</v>
      </c>
    </row>
    <row r="173" spans="5:11">
      <c r="E173" s="7" t="s">
        <v>56</v>
      </c>
      <c r="F173" s="8" t="s">
        <v>8</v>
      </c>
      <c r="G173" s="54"/>
      <c r="H173" s="54"/>
      <c r="I173" s="17">
        <f t="shared" si="10"/>
        <v>0</v>
      </c>
      <c r="J173" s="18">
        <v>15</v>
      </c>
      <c r="K173" s="18">
        <f t="shared" si="11"/>
        <v>0</v>
      </c>
    </row>
    <row r="174" spans="5:11">
      <c r="E174" s="10"/>
      <c r="F174" s="11" t="s">
        <v>10</v>
      </c>
      <c r="G174" s="12">
        <v>0.25</v>
      </c>
      <c r="H174" s="12">
        <v>0.458333333333333</v>
      </c>
      <c r="I174" s="21">
        <f t="shared" si="10"/>
        <v>4.99999999999999</v>
      </c>
      <c r="J174" s="22">
        <v>15</v>
      </c>
      <c r="K174" s="22">
        <f t="shared" si="11"/>
        <v>74.9999999999999</v>
      </c>
    </row>
    <row r="175" spans="5:11">
      <c r="E175" s="10"/>
      <c r="F175" s="11" t="s">
        <v>12</v>
      </c>
      <c r="G175" s="12">
        <v>0.25</v>
      </c>
      <c r="H175" s="12">
        <v>0.458333333333333</v>
      </c>
      <c r="I175" s="21">
        <f t="shared" si="10"/>
        <v>4.99999999999999</v>
      </c>
      <c r="J175" s="22">
        <v>15</v>
      </c>
      <c r="K175" s="22">
        <f t="shared" si="11"/>
        <v>74.9999999999999</v>
      </c>
    </row>
    <row r="176" spans="5:11">
      <c r="E176" s="10"/>
      <c r="F176" s="11" t="s">
        <v>13</v>
      </c>
      <c r="G176" s="15">
        <v>0.708333333333333</v>
      </c>
      <c r="H176" s="15">
        <v>0.916666666666667</v>
      </c>
      <c r="I176" s="21">
        <f t="shared" si="10"/>
        <v>5.00000000000001</v>
      </c>
      <c r="J176" s="22">
        <v>15</v>
      </c>
      <c r="K176" s="22">
        <f t="shared" si="11"/>
        <v>75.0000000000002</v>
      </c>
    </row>
    <row r="177" spans="5:11">
      <c r="E177" s="13"/>
      <c r="F177" s="14" t="s">
        <v>14</v>
      </c>
      <c r="G177" s="15">
        <v>0.708333333333333</v>
      </c>
      <c r="H177" s="15">
        <v>0.916666666666667</v>
      </c>
      <c r="I177" s="21">
        <f t="shared" si="10"/>
        <v>5.00000000000001</v>
      </c>
      <c r="J177" s="22">
        <v>15</v>
      </c>
      <c r="K177" s="22">
        <f t="shared" si="11"/>
        <v>75.0000000000002</v>
      </c>
    </row>
    <row r="178" spans="5:11">
      <c r="E178" s="10"/>
      <c r="F178" s="11" t="s">
        <v>9</v>
      </c>
      <c r="G178" s="12">
        <v>0.5</v>
      </c>
      <c r="H178" s="12">
        <v>0.708333333333333</v>
      </c>
      <c r="I178" s="21">
        <f t="shared" si="10"/>
        <v>4.99999999999999</v>
      </c>
      <c r="J178" s="22">
        <v>15</v>
      </c>
      <c r="K178" s="22">
        <f t="shared" si="11"/>
        <v>74.9999999999999</v>
      </c>
    </row>
    <row r="179" spans="5:11">
      <c r="E179" s="13"/>
      <c r="F179" s="14" t="s">
        <v>33</v>
      </c>
      <c r="G179" s="12">
        <v>0.5</v>
      </c>
      <c r="H179" s="12">
        <v>0.708333333333333</v>
      </c>
      <c r="I179" s="24">
        <f t="shared" si="10"/>
        <v>4.99999999999999</v>
      </c>
      <c r="J179" s="25">
        <v>15</v>
      </c>
      <c r="K179" s="25">
        <f t="shared" si="11"/>
        <v>74.9999999999999</v>
      </c>
    </row>
    <row r="180" spans="6:11">
      <c r="F180" s="11" t="s">
        <v>34</v>
      </c>
      <c r="I180" s="24">
        <f t="shared" si="10"/>
        <v>0</v>
      </c>
      <c r="J180" s="25">
        <v>15</v>
      </c>
      <c r="K180" s="25">
        <f t="shared" si="11"/>
        <v>0</v>
      </c>
    </row>
    <row r="181" spans="5:11">
      <c r="E181" s="7">
        <v>45661</v>
      </c>
      <c r="F181" s="8" t="s">
        <v>8</v>
      </c>
      <c r="G181" s="9">
        <v>0.25</v>
      </c>
      <c r="H181" s="9">
        <v>0.458333333333333</v>
      </c>
      <c r="I181" s="17">
        <f t="shared" si="10"/>
        <v>4.99999999999999</v>
      </c>
      <c r="J181" s="18">
        <v>15</v>
      </c>
      <c r="K181" s="18">
        <f t="shared" si="11"/>
        <v>74.9999999999999</v>
      </c>
    </row>
    <row r="182" spans="5:11">
      <c r="E182" s="10"/>
      <c r="F182" s="11" t="s">
        <v>10</v>
      </c>
      <c r="I182" s="21">
        <f t="shared" si="10"/>
        <v>0</v>
      </c>
      <c r="J182" s="22">
        <v>15</v>
      </c>
      <c r="K182" s="22">
        <f t="shared" si="11"/>
        <v>0</v>
      </c>
    </row>
    <row r="183" spans="5:11">
      <c r="E183" s="10"/>
      <c r="F183" s="11" t="s">
        <v>12</v>
      </c>
      <c r="I183" s="21">
        <f t="shared" si="10"/>
        <v>0</v>
      </c>
      <c r="J183" s="22">
        <v>15</v>
      </c>
      <c r="K183" s="22">
        <f t="shared" si="11"/>
        <v>0</v>
      </c>
    </row>
    <row r="184" spans="5:11">
      <c r="E184" s="10"/>
      <c r="F184" s="11" t="s">
        <v>13</v>
      </c>
      <c r="G184" s="15">
        <v>0.708333333333333</v>
      </c>
      <c r="H184" s="15">
        <v>0.916666666666667</v>
      </c>
      <c r="I184" s="21">
        <f t="shared" si="10"/>
        <v>5.00000000000001</v>
      </c>
      <c r="J184" s="22">
        <v>15</v>
      </c>
      <c r="K184" s="22">
        <f t="shared" si="11"/>
        <v>75.0000000000002</v>
      </c>
    </row>
    <row r="185" spans="5:11">
      <c r="E185" s="13"/>
      <c r="F185" s="14" t="s">
        <v>14</v>
      </c>
      <c r="G185" s="15">
        <v>0.708333333333333</v>
      </c>
      <c r="H185" s="15">
        <v>0.916666666666667</v>
      </c>
      <c r="I185" s="21">
        <f t="shared" si="10"/>
        <v>5.00000000000001</v>
      </c>
      <c r="J185" s="22">
        <v>15</v>
      </c>
      <c r="K185" s="22">
        <f t="shared" si="11"/>
        <v>75.0000000000002</v>
      </c>
    </row>
    <row r="186" spans="5:11">
      <c r="E186" s="10"/>
      <c r="F186" s="11" t="s">
        <v>9</v>
      </c>
      <c r="G186" s="12">
        <v>0.25</v>
      </c>
      <c r="H186" s="12">
        <v>0.5</v>
      </c>
      <c r="I186" s="21">
        <f t="shared" si="10"/>
        <v>6</v>
      </c>
      <c r="J186" s="22">
        <v>15</v>
      </c>
      <c r="K186" s="22">
        <f t="shared" si="11"/>
        <v>90</v>
      </c>
    </row>
    <row r="187" spans="5:11">
      <c r="E187" s="13"/>
      <c r="F187" s="14" t="s">
        <v>33</v>
      </c>
      <c r="G187" s="58"/>
      <c r="H187" s="58"/>
      <c r="I187" s="24">
        <f t="shared" si="10"/>
        <v>0</v>
      </c>
      <c r="J187" s="25">
        <v>15</v>
      </c>
      <c r="K187" s="25">
        <f t="shared" si="11"/>
        <v>0</v>
      </c>
    </row>
    <row r="188" spans="6:11">
      <c r="F188" s="11" t="s">
        <v>34</v>
      </c>
      <c r="I188" s="24">
        <f t="shared" si="10"/>
        <v>0</v>
      </c>
      <c r="J188" s="25">
        <v>15</v>
      </c>
      <c r="K188" s="25">
        <f t="shared" si="11"/>
        <v>0</v>
      </c>
    </row>
    <row r="189" spans="5:11">
      <c r="E189" s="7">
        <v>45692</v>
      </c>
      <c r="F189" s="8" t="s">
        <v>8</v>
      </c>
      <c r="G189" s="9">
        <v>0.25</v>
      </c>
      <c r="H189" s="9">
        <v>0.458333333333333</v>
      </c>
      <c r="I189" s="17">
        <f t="shared" si="10"/>
        <v>4.99999999999999</v>
      </c>
      <c r="J189" s="18">
        <v>15</v>
      </c>
      <c r="K189" s="18">
        <f t="shared" si="11"/>
        <v>74.9999999999999</v>
      </c>
    </row>
    <row r="190" spans="5:11">
      <c r="E190" s="10"/>
      <c r="F190" s="11" t="s">
        <v>10</v>
      </c>
      <c r="G190" s="15">
        <v>0.708333333333333</v>
      </c>
      <c r="H190" s="15">
        <v>0.916666666666667</v>
      </c>
      <c r="I190" s="21">
        <f t="shared" si="10"/>
        <v>5.00000000000001</v>
      </c>
      <c r="J190" s="22">
        <v>15</v>
      </c>
      <c r="K190" s="22">
        <f t="shared" si="11"/>
        <v>75.0000000000002</v>
      </c>
    </row>
    <row r="191" spans="5:11">
      <c r="E191" s="10"/>
      <c r="F191" s="11" t="s">
        <v>12</v>
      </c>
      <c r="G191" s="12">
        <v>0.25</v>
      </c>
      <c r="H191" s="12">
        <v>0.5</v>
      </c>
      <c r="I191" s="21">
        <f t="shared" si="10"/>
        <v>6</v>
      </c>
      <c r="J191" s="22">
        <v>15</v>
      </c>
      <c r="K191" s="22">
        <f t="shared" si="11"/>
        <v>90</v>
      </c>
    </row>
    <row r="192" spans="5:11">
      <c r="E192" s="10"/>
      <c r="F192" s="11" t="s">
        <v>13</v>
      </c>
      <c r="G192" s="15"/>
      <c r="H192" s="15"/>
      <c r="I192" s="21">
        <f t="shared" si="10"/>
        <v>0</v>
      </c>
      <c r="J192" s="22">
        <v>15</v>
      </c>
      <c r="K192" s="22">
        <f t="shared" si="11"/>
        <v>0</v>
      </c>
    </row>
    <row r="193" spans="5:11">
      <c r="E193" s="13"/>
      <c r="F193" s="14" t="s">
        <v>14</v>
      </c>
      <c r="G193" s="15"/>
      <c r="H193" s="15"/>
      <c r="I193" s="21">
        <f t="shared" si="10"/>
        <v>0</v>
      </c>
      <c r="J193" s="22">
        <v>15</v>
      </c>
      <c r="K193" s="22">
        <f t="shared" si="11"/>
        <v>0</v>
      </c>
    </row>
    <row r="194" spans="5:11">
      <c r="E194" s="10"/>
      <c r="F194" s="11" t="s">
        <v>9</v>
      </c>
      <c r="G194" s="12">
        <v>0.541666666666667</v>
      </c>
      <c r="H194" s="12">
        <v>0.708333333333333</v>
      </c>
      <c r="I194" s="21">
        <f t="shared" si="10"/>
        <v>3.99999999999999</v>
      </c>
      <c r="J194" s="22">
        <v>15</v>
      </c>
      <c r="K194" s="22">
        <f t="shared" si="11"/>
        <v>59.9999999999999</v>
      </c>
    </row>
    <row r="195" spans="5:11">
      <c r="E195" s="13"/>
      <c r="F195" s="14" t="s">
        <v>33</v>
      </c>
      <c r="G195" s="58"/>
      <c r="H195" s="58"/>
      <c r="I195" s="24">
        <f t="shared" si="10"/>
        <v>0</v>
      </c>
      <c r="J195" s="25">
        <v>15</v>
      </c>
      <c r="K195" s="25">
        <f t="shared" si="11"/>
        <v>0</v>
      </c>
    </row>
    <row r="196" spans="6:11">
      <c r="F196" s="11" t="s">
        <v>34</v>
      </c>
      <c r="G196" s="12">
        <v>0.5</v>
      </c>
      <c r="H196" s="12">
        <v>0.916666666666667</v>
      </c>
      <c r="I196" s="24">
        <f t="shared" si="10"/>
        <v>10</v>
      </c>
      <c r="J196" s="25">
        <v>15</v>
      </c>
      <c r="K196" s="25">
        <f t="shared" si="11"/>
        <v>150</v>
      </c>
    </row>
    <row r="197" spans="5:11">
      <c r="E197" s="13"/>
      <c r="F197" s="14" t="s">
        <v>35</v>
      </c>
      <c r="G197" s="15">
        <v>0.708333333333333</v>
      </c>
      <c r="H197" s="15">
        <v>0.916666666666667</v>
      </c>
      <c r="I197" s="24">
        <f t="shared" si="10"/>
        <v>5.00000000000001</v>
      </c>
      <c r="J197" s="25">
        <v>15</v>
      </c>
      <c r="K197" s="25">
        <f t="shared" si="11"/>
        <v>75.0000000000002</v>
      </c>
    </row>
    <row r="198" spans="5:11">
      <c r="E198" s="7">
        <v>45720</v>
      </c>
      <c r="F198" s="8" t="s">
        <v>8</v>
      </c>
      <c r="G198" s="9">
        <v>0.25</v>
      </c>
      <c r="H198" s="9">
        <v>0.458333333333333</v>
      </c>
      <c r="I198" s="17">
        <f t="shared" si="10"/>
        <v>4.99999999999999</v>
      </c>
      <c r="J198" s="18">
        <v>15</v>
      </c>
      <c r="K198" s="18">
        <f t="shared" si="11"/>
        <v>74.9999999999999</v>
      </c>
    </row>
    <row r="199" spans="5:11">
      <c r="E199" s="10"/>
      <c r="F199" s="11" t="s">
        <v>10</v>
      </c>
      <c r="I199" s="21">
        <f t="shared" si="10"/>
        <v>0</v>
      </c>
      <c r="J199" s="22">
        <v>15</v>
      </c>
      <c r="K199" s="22">
        <f t="shared" si="11"/>
        <v>0</v>
      </c>
    </row>
    <row r="200" spans="5:11">
      <c r="E200" s="10"/>
      <c r="F200" s="11" t="s">
        <v>12</v>
      </c>
      <c r="G200" s="12">
        <v>0.25</v>
      </c>
      <c r="H200" s="12">
        <v>0.5</v>
      </c>
      <c r="I200" s="21">
        <f t="shared" si="10"/>
        <v>6</v>
      </c>
      <c r="J200" s="22">
        <v>15</v>
      </c>
      <c r="K200" s="22">
        <f t="shared" si="11"/>
        <v>90</v>
      </c>
    </row>
    <row r="201" spans="5:11">
      <c r="E201" s="10"/>
      <c r="F201" s="11" t="s">
        <v>13</v>
      </c>
      <c r="G201" s="12">
        <v>0.5</v>
      </c>
      <c r="H201" s="12">
        <v>0.708333333333333</v>
      </c>
      <c r="I201" s="21">
        <f t="shared" si="10"/>
        <v>4.99999999999999</v>
      </c>
      <c r="J201" s="22">
        <v>15</v>
      </c>
      <c r="K201" s="22">
        <f t="shared" si="11"/>
        <v>74.9999999999999</v>
      </c>
    </row>
    <row r="202" spans="5:11">
      <c r="E202" s="13"/>
      <c r="F202" s="14" t="s">
        <v>14</v>
      </c>
      <c r="G202" s="15">
        <v>0.708333333333333</v>
      </c>
      <c r="H202" s="15">
        <v>0.916666666666667</v>
      </c>
      <c r="I202" s="21">
        <f t="shared" si="10"/>
        <v>5.00000000000001</v>
      </c>
      <c r="J202" s="22">
        <v>15</v>
      </c>
      <c r="K202" s="22">
        <f t="shared" si="11"/>
        <v>75.0000000000001</v>
      </c>
    </row>
    <row r="203" spans="5:11">
      <c r="E203" s="10"/>
      <c r="F203" s="11" t="s">
        <v>9</v>
      </c>
      <c r="G203" s="12"/>
      <c r="H203" s="12"/>
      <c r="I203" s="21">
        <f t="shared" si="10"/>
        <v>0</v>
      </c>
      <c r="J203" s="22">
        <v>15</v>
      </c>
      <c r="K203" s="22">
        <f t="shared" si="11"/>
        <v>0</v>
      </c>
    </row>
    <row r="204" spans="5:11">
      <c r="E204" s="13"/>
      <c r="F204" s="14" t="s">
        <v>33</v>
      </c>
      <c r="G204" s="58"/>
      <c r="H204" s="58"/>
      <c r="I204" s="24">
        <f t="shared" si="10"/>
        <v>0</v>
      </c>
      <c r="J204" s="25">
        <v>15</v>
      </c>
      <c r="K204" s="25">
        <f t="shared" si="11"/>
        <v>0</v>
      </c>
    </row>
    <row r="205" spans="6:11">
      <c r="F205" s="11" t="s">
        <v>34</v>
      </c>
      <c r="G205" s="12">
        <v>0.541666666666667</v>
      </c>
      <c r="H205" s="12">
        <v>0.9375</v>
      </c>
      <c r="I205" s="24">
        <f t="shared" si="10"/>
        <v>9.5</v>
      </c>
      <c r="J205" s="25">
        <v>15</v>
      </c>
      <c r="K205" s="25">
        <f t="shared" si="11"/>
        <v>142.5</v>
      </c>
    </row>
    <row r="206" spans="5:11">
      <c r="E206" s="7">
        <v>45751</v>
      </c>
      <c r="F206" s="8" t="s">
        <v>8</v>
      </c>
      <c r="G206" s="9">
        <v>0.25</v>
      </c>
      <c r="H206" s="9">
        <v>0.354166666666667</v>
      </c>
      <c r="I206" s="17">
        <f t="shared" si="10"/>
        <v>2.5</v>
      </c>
      <c r="J206" s="18">
        <v>15</v>
      </c>
      <c r="K206" s="18">
        <f t="shared" si="11"/>
        <v>37.5</v>
      </c>
    </row>
    <row r="207" spans="5:11">
      <c r="E207" s="10"/>
      <c r="F207" s="11" t="s">
        <v>8</v>
      </c>
      <c r="G207" s="15">
        <v>0.708333333333333</v>
      </c>
      <c r="H207" s="15">
        <v>0.916666666666667</v>
      </c>
      <c r="I207" s="24">
        <f t="shared" si="10"/>
        <v>5.00000000000001</v>
      </c>
      <c r="J207" s="25">
        <v>15</v>
      </c>
      <c r="K207" s="25">
        <f t="shared" si="11"/>
        <v>75.0000000000001</v>
      </c>
    </row>
    <row r="208" spans="5:11">
      <c r="E208" s="10"/>
      <c r="F208" s="11" t="s">
        <v>10</v>
      </c>
      <c r="G208" s="12">
        <v>0.25</v>
      </c>
      <c r="H208" s="12">
        <v>0.333333333333333</v>
      </c>
      <c r="I208" s="21">
        <f>(H208-G208)*24</f>
        <v>2</v>
      </c>
      <c r="J208" s="22">
        <v>15</v>
      </c>
      <c r="K208" s="22">
        <f>(J208*I208)</f>
        <v>30</v>
      </c>
    </row>
    <row r="209" spans="5:11">
      <c r="E209" s="10"/>
      <c r="F209" s="11" t="s">
        <v>12</v>
      </c>
      <c r="G209" s="15">
        <v>0.708333333333333</v>
      </c>
      <c r="H209" s="15">
        <v>0.916666666666667</v>
      </c>
      <c r="I209" s="21">
        <f>(H209-G209)*24</f>
        <v>5.00000000000001</v>
      </c>
      <c r="J209" s="22">
        <v>15</v>
      </c>
      <c r="K209" s="22">
        <f>(J209*I209)</f>
        <v>75.0000000000001</v>
      </c>
    </row>
    <row r="210" spans="5:11">
      <c r="E210" s="10"/>
      <c r="F210" s="11" t="s">
        <v>13</v>
      </c>
      <c r="G210" s="12">
        <v>0.5</v>
      </c>
      <c r="H210" s="12">
        <v>0.708333333333333</v>
      </c>
      <c r="I210" s="21">
        <f t="shared" ref="I210:I246" si="12">(H210-G210)*24</f>
        <v>4.99999999999999</v>
      </c>
      <c r="J210" s="22">
        <v>15</v>
      </c>
      <c r="K210" s="22">
        <f t="shared" ref="K210:K246" si="13">(J210*I210)</f>
        <v>74.9999999999999</v>
      </c>
    </row>
    <row r="211" spans="5:11">
      <c r="E211" s="13"/>
      <c r="F211" s="14" t="s">
        <v>14</v>
      </c>
      <c r="G211" s="15"/>
      <c r="H211" s="15"/>
      <c r="I211" s="21">
        <f t="shared" si="12"/>
        <v>0</v>
      </c>
      <c r="J211" s="22">
        <v>15</v>
      </c>
      <c r="K211" s="22">
        <f t="shared" si="13"/>
        <v>0</v>
      </c>
    </row>
    <row r="212" spans="5:11">
      <c r="E212" s="10"/>
      <c r="F212" s="11" t="s">
        <v>9</v>
      </c>
      <c r="G212" s="12"/>
      <c r="H212" s="12"/>
      <c r="I212" s="21">
        <f t="shared" si="12"/>
        <v>0</v>
      </c>
      <c r="J212" s="22">
        <v>15</v>
      </c>
      <c r="K212" s="22">
        <f t="shared" si="13"/>
        <v>0</v>
      </c>
    </row>
    <row r="213" spans="5:11">
      <c r="E213" s="13"/>
      <c r="F213" s="14" t="s">
        <v>33</v>
      </c>
      <c r="G213" s="58"/>
      <c r="H213" s="58"/>
      <c r="I213" s="24">
        <f t="shared" si="12"/>
        <v>0</v>
      </c>
      <c r="J213" s="25">
        <v>15</v>
      </c>
      <c r="K213" s="25">
        <f t="shared" si="13"/>
        <v>0</v>
      </c>
    </row>
    <row r="214" spans="6:11">
      <c r="F214" s="11" t="s">
        <v>35</v>
      </c>
      <c r="G214" s="12">
        <v>0.25</v>
      </c>
      <c r="H214" s="12">
        <v>0.708333333333333</v>
      </c>
      <c r="I214" s="24">
        <f t="shared" si="12"/>
        <v>11</v>
      </c>
      <c r="J214" s="25">
        <v>15</v>
      </c>
      <c r="K214" s="25">
        <f t="shared" si="13"/>
        <v>165</v>
      </c>
    </row>
    <row r="215" spans="5:11">
      <c r="E215" s="7">
        <v>45781</v>
      </c>
      <c r="F215" s="8" t="s">
        <v>8</v>
      </c>
      <c r="G215" s="9">
        <v>0.5</v>
      </c>
      <c r="H215" s="9">
        <v>0.916666666666667</v>
      </c>
      <c r="I215" s="17">
        <f t="shared" si="12"/>
        <v>10</v>
      </c>
      <c r="J215" s="18">
        <v>15</v>
      </c>
      <c r="K215" s="18">
        <f t="shared" si="13"/>
        <v>150</v>
      </c>
    </row>
    <row r="216" spans="5:11">
      <c r="E216" s="10"/>
      <c r="F216" s="11" t="s">
        <v>10</v>
      </c>
      <c r="I216" s="21">
        <f t="shared" si="12"/>
        <v>0</v>
      </c>
      <c r="J216" s="22">
        <v>15</v>
      </c>
      <c r="K216" s="22">
        <f t="shared" si="13"/>
        <v>0</v>
      </c>
    </row>
    <row r="217" spans="5:11">
      <c r="E217" s="10"/>
      <c r="F217" s="11" t="s">
        <v>12</v>
      </c>
      <c r="G217" s="15">
        <v>0.5</v>
      </c>
      <c r="H217" s="15">
        <v>0.916666666666667</v>
      </c>
      <c r="I217" s="21">
        <f t="shared" si="12"/>
        <v>10</v>
      </c>
      <c r="J217" s="22">
        <v>15</v>
      </c>
      <c r="K217" s="22">
        <f t="shared" si="13"/>
        <v>150</v>
      </c>
    </row>
    <row r="218" spans="5:11">
      <c r="E218" s="10"/>
      <c r="F218" s="11" t="s">
        <v>13</v>
      </c>
      <c r="G218" s="15"/>
      <c r="H218" s="15"/>
      <c r="I218" s="21">
        <f t="shared" si="12"/>
        <v>0</v>
      </c>
      <c r="J218" s="22">
        <v>15</v>
      </c>
      <c r="K218" s="22">
        <f t="shared" si="13"/>
        <v>0</v>
      </c>
    </row>
    <row r="219" spans="5:11">
      <c r="E219" s="13"/>
      <c r="F219" s="14" t="s">
        <v>14</v>
      </c>
      <c r="G219" s="15"/>
      <c r="H219" s="15"/>
      <c r="I219" s="21">
        <f t="shared" si="12"/>
        <v>0</v>
      </c>
      <c r="J219" s="22">
        <v>15</v>
      </c>
      <c r="K219" s="22">
        <f t="shared" si="13"/>
        <v>0</v>
      </c>
    </row>
    <row r="220" spans="5:11">
      <c r="E220" s="10"/>
      <c r="F220" s="11" t="s">
        <v>9</v>
      </c>
      <c r="G220" s="12"/>
      <c r="H220" s="12"/>
      <c r="I220" s="21">
        <f t="shared" si="12"/>
        <v>0</v>
      </c>
      <c r="J220" s="22">
        <v>15</v>
      </c>
      <c r="K220" s="22">
        <f t="shared" si="13"/>
        <v>0</v>
      </c>
    </row>
    <row r="221" spans="5:11">
      <c r="E221" s="13"/>
      <c r="F221" s="14" t="s">
        <v>34</v>
      </c>
      <c r="G221" s="12">
        <v>0.25</v>
      </c>
      <c r="H221" s="12">
        <v>0.5</v>
      </c>
      <c r="I221" s="24">
        <f t="shared" si="12"/>
        <v>6</v>
      </c>
      <c r="J221" s="25">
        <v>15</v>
      </c>
      <c r="K221" s="25">
        <f t="shared" si="13"/>
        <v>90</v>
      </c>
    </row>
    <row r="222" spans="6:11">
      <c r="F222" s="11" t="s">
        <v>35</v>
      </c>
      <c r="G222" s="12">
        <v>0.25</v>
      </c>
      <c r="H222" s="12">
        <v>0.5</v>
      </c>
      <c r="I222" s="24">
        <f t="shared" si="12"/>
        <v>6</v>
      </c>
      <c r="J222" s="25">
        <v>15</v>
      </c>
      <c r="K222" s="25">
        <f t="shared" si="13"/>
        <v>90</v>
      </c>
    </row>
    <row r="223" spans="5:11">
      <c r="E223" s="7">
        <v>45812</v>
      </c>
      <c r="F223" s="8" t="s">
        <v>8</v>
      </c>
      <c r="G223" s="9">
        <v>0.708333333333333</v>
      </c>
      <c r="H223" s="9">
        <v>0.916666666666667</v>
      </c>
      <c r="I223" s="17">
        <f t="shared" si="12"/>
        <v>5.00000000000001</v>
      </c>
      <c r="J223" s="18">
        <v>15</v>
      </c>
      <c r="K223" s="18">
        <f t="shared" si="13"/>
        <v>75.0000000000002</v>
      </c>
    </row>
    <row r="224" spans="5:11">
      <c r="E224" s="10"/>
      <c r="F224" s="11" t="s">
        <v>35</v>
      </c>
      <c r="G224" s="15">
        <v>0.708333333333333</v>
      </c>
      <c r="H224" s="15">
        <v>0.916666666666667</v>
      </c>
      <c r="I224" s="21">
        <f t="shared" si="12"/>
        <v>5.00000000000001</v>
      </c>
      <c r="J224" s="22">
        <v>15</v>
      </c>
      <c r="K224" s="22">
        <f t="shared" si="13"/>
        <v>75.0000000000002</v>
      </c>
    </row>
    <row r="225" spans="5:11">
      <c r="E225" s="10"/>
      <c r="F225" s="11" t="s">
        <v>12</v>
      </c>
      <c r="G225" s="12">
        <v>0.5</v>
      </c>
      <c r="H225" s="12">
        <v>0.708333333333333</v>
      </c>
      <c r="I225" s="21">
        <f t="shared" si="12"/>
        <v>4.99999999999999</v>
      </c>
      <c r="J225" s="22">
        <v>15</v>
      </c>
      <c r="K225" s="22">
        <f t="shared" si="13"/>
        <v>74.9999999999999</v>
      </c>
    </row>
    <row r="226" spans="5:11">
      <c r="E226" s="10"/>
      <c r="F226" s="11" t="s">
        <v>13</v>
      </c>
      <c r="G226" s="15"/>
      <c r="H226" s="15"/>
      <c r="I226" s="21">
        <f t="shared" si="12"/>
        <v>0</v>
      </c>
      <c r="J226" s="22">
        <v>15</v>
      </c>
      <c r="K226" s="22">
        <f t="shared" si="13"/>
        <v>0</v>
      </c>
    </row>
    <row r="227" spans="5:11">
      <c r="E227" s="13"/>
      <c r="F227" s="14" t="s">
        <v>14</v>
      </c>
      <c r="G227" s="15"/>
      <c r="H227" s="15"/>
      <c r="I227" s="21">
        <f t="shared" si="12"/>
        <v>0</v>
      </c>
      <c r="J227" s="22">
        <v>15</v>
      </c>
      <c r="K227" s="22">
        <f t="shared" si="13"/>
        <v>0</v>
      </c>
    </row>
    <row r="228" spans="5:11">
      <c r="E228" s="10"/>
      <c r="F228" s="11" t="s">
        <v>9</v>
      </c>
      <c r="G228" s="12">
        <v>0.25</v>
      </c>
      <c r="H228" s="12">
        <v>0.5</v>
      </c>
      <c r="I228" s="21">
        <f t="shared" si="12"/>
        <v>6</v>
      </c>
      <c r="J228" s="22">
        <v>15</v>
      </c>
      <c r="K228" s="22">
        <f t="shared" si="13"/>
        <v>90</v>
      </c>
    </row>
    <row r="229" spans="5:11">
      <c r="E229" s="13"/>
      <c r="F229" s="14" t="s">
        <v>33</v>
      </c>
      <c r="G229" s="58"/>
      <c r="H229" s="58"/>
      <c r="I229" s="24">
        <f t="shared" si="12"/>
        <v>0</v>
      </c>
      <c r="J229" s="25">
        <v>15</v>
      </c>
      <c r="K229" s="25">
        <f t="shared" si="13"/>
        <v>0</v>
      </c>
    </row>
    <row r="230" spans="6:11">
      <c r="F230" s="11" t="s">
        <v>34</v>
      </c>
      <c r="G230" s="12">
        <v>0.25</v>
      </c>
      <c r="H230" s="12">
        <v>0.708333333333333</v>
      </c>
      <c r="I230" s="24">
        <f t="shared" si="12"/>
        <v>11</v>
      </c>
      <c r="J230" s="25">
        <v>15</v>
      </c>
      <c r="K230" s="25">
        <f t="shared" si="13"/>
        <v>165</v>
      </c>
    </row>
    <row r="231" spans="5:11">
      <c r="E231" s="7">
        <v>45842</v>
      </c>
      <c r="F231" s="8" t="s">
        <v>8</v>
      </c>
      <c r="G231" s="9"/>
      <c r="H231" s="9"/>
      <c r="I231" s="17">
        <f t="shared" si="12"/>
        <v>0</v>
      </c>
      <c r="J231" s="18">
        <v>15</v>
      </c>
      <c r="K231" s="18">
        <f t="shared" si="13"/>
        <v>0</v>
      </c>
    </row>
    <row r="232" spans="5:11">
      <c r="E232" s="10"/>
      <c r="F232" s="11" t="s">
        <v>10</v>
      </c>
      <c r="I232" s="21">
        <f t="shared" si="12"/>
        <v>0</v>
      </c>
      <c r="J232" s="22">
        <v>15</v>
      </c>
      <c r="K232" s="22">
        <f t="shared" si="13"/>
        <v>0</v>
      </c>
    </row>
    <row r="233" spans="5:11">
      <c r="E233" s="10"/>
      <c r="F233" s="11" t="s">
        <v>12</v>
      </c>
      <c r="G233" s="12">
        <v>0.25</v>
      </c>
      <c r="H233" s="12">
        <v>0.5</v>
      </c>
      <c r="I233" s="21">
        <f t="shared" si="12"/>
        <v>6</v>
      </c>
      <c r="J233" s="22">
        <v>15</v>
      </c>
      <c r="K233" s="22">
        <f t="shared" si="13"/>
        <v>90</v>
      </c>
    </row>
    <row r="234" spans="5:11">
      <c r="E234" s="10"/>
      <c r="F234" s="11" t="s">
        <v>13</v>
      </c>
      <c r="G234" s="15"/>
      <c r="H234" s="15"/>
      <c r="I234" s="21">
        <f t="shared" si="12"/>
        <v>0</v>
      </c>
      <c r="J234" s="22">
        <v>15</v>
      </c>
      <c r="K234" s="22">
        <f t="shared" si="13"/>
        <v>0</v>
      </c>
    </row>
    <row r="235" spans="5:11">
      <c r="E235" s="13"/>
      <c r="F235" s="14" t="s">
        <v>14</v>
      </c>
      <c r="G235" s="12">
        <v>0.5</v>
      </c>
      <c r="H235" s="12">
        <v>0.916666666666667</v>
      </c>
      <c r="I235" s="21">
        <f t="shared" si="12"/>
        <v>10</v>
      </c>
      <c r="J235" s="22">
        <v>15</v>
      </c>
      <c r="K235" s="22">
        <f t="shared" si="13"/>
        <v>150</v>
      </c>
    </row>
    <row r="236" spans="5:11">
      <c r="E236" s="10"/>
      <c r="F236" s="11" t="s">
        <v>9</v>
      </c>
      <c r="G236" s="12"/>
      <c r="H236" s="12"/>
      <c r="I236" s="21">
        <f t="shared" si="12"/>
        <v>0</v>
      </c>
      <c r="J236" s="22">
        <v>15</v>
      </c>
      <c r="K236" s="22">
        <f t="shared" si="13"/>
        <v>0</v>
      </c>
    </row>
    <row r="237" spans="5:11">
      <c r="E237" s="13"/>
      <c r="F237" s="14" t="s">
        <v>33</v>
      </c>
      <c r="G237" s="15">
        <v>0.708333333333333</v>
      </c>
      <c r="H237" s="15">
        <v>0.916666666666667</v>
      </c>
      <c r="I237" s="24">
        <f t="shared" si="12"/>
        <v>5.00000000000001</v>
      </c>
      <c r="J237" s="25">
        <v>15</v>
      </c>
      <c r="K237" s="25">
        <f t="shared" si="13"/>
        <v>75.0000000000002</v>
      </c>
    </row>
    <row r="238" spans="6:11">
      <c r="F238" s="11" t="s">
        <v>34</v>
      </c>
      <c r="G238" s="12">
        <v>0.25</v>
      </c>
      <c r="H238" s="12">
        <v>0.708333333333333</v>
      </c>
      <c r="I238" s="24">
        <f t="shared" si="12"/>
        <v>11</v>
      </c>
      <c r="J238" s="25">
        <v>15</v>
      </c>
      <c r="K238" s="25">
        <f t="shared" si="13"/>
        <v>165</v>
      </c>
    </row>
    <row r="239" spans="5:11">
      <c r="E239" s="7">
        <v>45873</v>
      </c>
      <c r="F239" s="8" t="s">
        <v>8</v>
      </c>
      <c r="G239" s="9">
        <v>0.25</v>
      </c>
      <c r="H239" s="9">
        <v>0.458333333333333</v>
      </c>
      <c r="I239" s="17">
        <f t="shared" si="12"/>
        <v>4.99999999999999</v>
      </c>
      <c r="J239" s="18">
        <v>15</v>
      </c>
      <c r="K239" s="18">
        <f t="shared" si="13"/>
        <v>74.9999999999999</v>
      </c>
    </row>
    <row r="240" spans="5:11">
      <c r="E240" s="10"/>
      <c r="F240" s="11" t="s">
        <v>8</v>
      </c>
      <c r="G240" s="15">
        <v>0.708333333333333</v>
      </c>
      <c r="H240" s="15">
        <v>0.916666666666667</v>
      </c>
      <c r="I240" s="21">
        <f t="shared" si="12"/>
        <v>5.00000000000001</v>
      </c>
      <c r="J240" s="22">
        <v>15</v>
      </c>
      <c r="K240" s="22">
        <f t="shared" si="13"/>
        <v>75.0000000000002</v>
      </c>
    </row>
    <row r="241" spans="5:11">
      <c r="E241" s="10"/>
      <c r="F241" s="11" t="s">
        <v>12</v>
      </c>
      <c r="I241" s="21">
        <f t="shared" si="12"/>
        <v>0</v>
      </c>
      <c r="J241" s="22">
        <v>15</v>
      </c>
      <c r="K241" s="22">
        <f t="shared" si="13"/>
        <v>0</v>
      </c>
    </row>
    <row r="242" spans="5:11">
      <c r="E242" s="10"/>
      <c r="F242" s="11" t="s">
        <v>13</v>
      </c>
      <c r="G242" s="15"/>
      <c r="H242" s="15"/>
      <c r="I242" s="21">
        <f t="shared" si="12"/>
        <v>0</v>
      </c>
      <c r="J242" s="22">
        <v>15</v>
      </c>
      <c r="K242" s="22">
        <f t="shared" si="13"/>
        <v>0</v>
      </c>
    </row>
    <row r="243" spans="5:11">
      <c r="E243" s="13"/>
      <c r="F243" s="14" t="s">
        <v>14</v>
      </c>
      <c r="G243" s="15">
        <v>0.708333333333333</v>
      </c>
      <c r="H243" s="15">
        <v>0.916666666666667</v>
      </c>
      <c r="I243" s="21">
        <f t="shared" si="12"/>
        <v>5.00000000000001</v>
      </c>
      <c r="J243" s="22">
        <v>15</v>
      </c>
      <c r="K243" s="22">
        <f t="shared" si="13"/>
        <v>75.0000000000002</v>
      </c>
    </row>
    <row r="244" spans="5:11">
      <c r="E244" s="10"/>
      <c r="F244" s="11" t="s">
        <v>9</v>
      </c>
      <c r="G244" s="15">
        <v>0.25</v>
      </c>
      <c r="H244" s="15">
        <v>0.5</v>
      </c>
      <c r="I244" s="21">
        <f t="shared" si="12"/>
        <v>6</v>
      </c>
      <c r="J244" s="22">
        <v>15</v>
      </c>
      <c r="K244" s="22">
        <f t="shared" si="13"/>
        <v>90</v>
      </c>
    </row>
    <row r="245" spans="5:11">
      <c r="E245" s="13"/>
      <c r="F245" s="14" t="s">
        <v>33</v>
      </c>
      <c r="G245" s="12">
        <v>0.5</v>
      </c>
      <c r="H245" s="12">
        <v>0.708333333333333</v>
      </c>
      <c r="I245" s="24">
        <f t="shared" si="12"/>
        <v>4.99999999999999</v>
      </c>
      <c r="J245" s="25">
        <v>15</v>
      </c>
      <c r="K245" s="25">
        <f t="shared" si="13"/>
        <v>74.9999999999999</v>
      </c>
    </row>
    <row r="246" spans="6:11">
      <c r="F246" s="11" t="s">
        <v>34</v>
      </c>
      <c r="I246" s="24">
        <f t="shared" si="12"/>
        <v>0</v>
      </c>
      <c r="J246" s="25">
        <v>15</v>
      </c>
      <c r="K246" s="25">
        <f t="shared" si="13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Q343"/>
  <sheetViews>
    <sheetView topLeftCell="A307" workbookViewId="0">
      <selection activeCell="N330" sqref="N330"/>
    </sheetView>
  </sheetViews>
  <sheetFormatPr defaultColWidth="9.14285714285714" defaultRowHeight="15"/>
  <cols>
    <col min="5" max="5" width="10.5714285714286" style="1" customWidth="1"/>
    <col min="6" max="6" width="9.14285714285714" style="11"/>
    <col min="7" max="7" width="9.42857142857143" style="2"/>
    <col min="8" max="8" width="9.57142857142857" style="2"/>
    <col min="9" max="9" width="15.7142857142857" style="2" customWidth="1"/>
    <col min="10" max="10" width="10.7142857142857" style="2" customWidth="1"/>
    <col min="11" max="11" width="11.1428571428571" style="2" customWidth="1"/>
    <col min="13" max="13" width="10.8571428571429" customWidth="1"/>
    <col min="15" max="15" width="12" customWidth="1"/>
    <col min="17" max="17" width="12.2857142857143" customWidth="1"/>
  </cols>
  <sheetData>
    <row r="1" spans="5:11">
      <c r="E1" s="3"/>
      <c r="F1" s="28"/>
      <c r="G1" s="4"/>
      <c r="H1" s="4"/>
      <c r="I1" s="4"/>
      <c r="J1" s="4"/>
      <c r="K1" s="4"/>
    </row>
    <row r="2" spans="5:11">
      <c r="E2" s="3"/>
      <c r="F2" s="28"/>
      <c r="G2" s="4"/>
      <c r="H2" s="4"/>
      <c r="I2" s="4"/>
      <c r="J2" s="4"/>
      <c r="K2" s="4"/>
    </row>
    <row r="3" spans="5:11">
      <c r="E3" s="3"/>
      <c r="F3" s="28"/>
      <c r="G3" s="4"/>
      <c r="H3" s="4"/>
      <c r="I3" s="4"/>
      <c r="J3" s="4"/>
      <c r="K3" s="4"/>
    </row>
    <row r="4" spans="5:11">
      <c r="E4" s="3"/>
      <c r="F4" s="28"/>
      <c r="G4" s="4"/>
      <c r="H4" s="4"/>
      <c r="I4" s="4"/>
      <c r="J4" s="4"/>
      <c r="K4" s="4"/>
    </row>
    <row r="5" spans="5:11">
      <c r="E5" s="3"/>
      <c r="F5" s="28"/>
      <c r="G5" s="4"/>
      <c r="H5" s="4"/>
      <c r="I5" s="4"/>
      <c r="J5" s="4"/>
      <c r="K5" s="4"/>
    </row>
    <row r="6" spans="5:11">
      <c r="E6" s="3"/>
      <c r="F6" s="28"/>
      <c r="G6" s="4"/>
      <c r="H6" s="4"/>
      <c r="I6" s="4"/>
      <c r="J6" s="4"/>
      <c r="K6" s="4"/>
    </row>
    <row r="7" spans="5:11">
      <c r="E7" s="3"/>
      <c r="F7" s="28"/>
      <c r="G7" s="4"/>
      <c r="H7" s="4"/>
      <c r="I7" s="4"/>
      <c r="J7" s="4"/>
      <c r="K7" s="4"/>
    </row>
    <row r="8" spans="5:11">
      <c r="E8" s="3"/>
      <c r="F8" s="28"/>
      <c r="G8" s="4"/>
      <c r="H8" s="4"/>
      <c r="I8" s="4"/>
      <c r="J8" s="4"/>
      <c r="K8" s="4"/>
    </row>
    <row r="9" spans="5:17">
      <c r="E9" s="5" t="s">
        <v>0</v>
      </c>
      <c r="F9" s="6" t="s">
        <v>1</v>
      </c>
      <c r="G9" s="6" t="s">
        <v>2</v>
      </c>
      <c r="H9" s="6" t="s">
        <v>3</v>
      </c>
      <c r="I9" s="6" t="s">
        <v>4</v>
      </c>
      <c r="J9" s="6" t="s">
        <v>5</v>
      </c>
      <c r="K9" s="6" t="s">
        <v>6</v>
      </c>
      <c r="L9" s="16" t="s">
        <v>1</v>
      </c>
      <c r="M9" s="16" t="s">
        <v>7</v>
      </c>
      <c r="N9" s="16" t="s">
        <v>1</v>
      </c>
      <c r="O9" s="16" t="s">
        <v>7</v>
      </c>
      <c r="P9" s="16" t="s">
        <v>1</v>
      </c>
      <c r="Q9" s="16" t="s">
        <v>7</v>
      </c>
    </row>
    <row r="10" spans="5:17">
      <c r="E10" s="7">
        <v>45904</v>
      </c>
      <c r="F10" s="8" t="s">
        <v>8</v>
      </c>
      <c r="G10" s="9">
        <v>0.25</v>
      </c>
      <c r="H10" s="9">
        <v>0.458333333333333</v>
      </c>
      <c r="I10" s="17">
        <f t="shared" ref="I10:I13" si="0">(H10-G10)*24</f>
        <v>5</v>
      </c>
      <c r="J10" s="18">
        <v>16</v>
      </c>
      <c r="K10" s="18">
        <f t="shared" ref="K10:K13" si="1">(J10*I10)</f>
        <v>80</v>
      </c>
      <c r="L10" s="19" t="s">
        <v>8</v>
      </c>
      <c r="M10" s="19">
        <f>SUMIF(F10:F1013,"Hoàng",K10:K1013)</f>
        <v>2072</v>
      </c>
      <c r="N10" s="19" t="s">
        <v>9</v>
      </c>
      <c r="O10" s="20">
        <f>SUMIF(F10:F1013,"Thảo",K10:K1013)</f>
        <v>1040</v>
      </c>
      <c r="P10" s="19" t="s">
        <v>57</v>
      </c>
      <c r="Q10" s="23">
        <f>SUMIF(F7:F1010,"Đô",K7:K1010)</f>
        <v>1241.25</v>
      </c>
    </row>
    <row r="11" spans="5:17">
      <c r="E11" s="10"/>
      <c r="F11" s="11" t="s">
        <v>10</v>
      </c>
      <c r="G11" s="12"/>
      <c r="H11" s="12"/>
      <c r="I11" s="21">
        <f t="shared" si="0"/>
        <v>0</v>
      </c>
      <c r="J11" s="22">
        <v>16</v>
      </c>
      <c r="K11" s="22">
        <f t="shared" si="1"/>
        <v>0</v>
      </c>
      <c r="L11" s="19" t="s">
        <v>10</v>
      </c>
      <c r="M11" s="19">
        <f>SUMIF(F10:F1013,"Trâm",K10:K1013)</f>
        <v>965</v>
      </c>
      <c r="N11" s="19" t="s">
        <v>33</v>
      </c>
      <c r="O11" s="23">
        <f>SUMIF(F10:F1013,"An",K10:K1013)</f>
        <v>1290</v>
      </c>
      <c r="P11" s="19" t="s">
        <v>58</v>
      </c>
      <c r="Q11" s="23">
        <f>SUMIF(F8:F1011,"Hương",K8:K1011)</f>
        <v>615.000000000001</v>
      </c>
    </row>
    <row r="12" spans="5:17">
      <c r="E12" s="10"/>
      <c r="F12" s="11" t="s">
        <v>12</v>
      </c>
      <c r="G12" s="12">
        <v>0.25</v>
      </c>
      <c r="H12" s="12">
        <v>0.458333333333333</v>
      </c>
      <c r="I12" s="21">
        <f t="shared" si="0"/>
        <v>5</v>
      </c>
      <c r="J12" s="22">
        <v>16</v>
      </c>
      <c r="K12" s="22">
        <f t="shared" si="1"/>
        <v>80</v>
      </c>
      <c r="L12" s="19" t="s">
        <v>12</v>
      </c>
      <c r="M12" s="20">
        <f>SUMIF(F10:F1013,"Ngọc",K10:K1013)</f>
        <v>2224</v>
      </c>
      <c r="N12" s="19" t="s">
        <v>34</v>
      </c>
      <c r="O12" s="23">
        <f>SUMIF(F10:F1013,"Tân",K10:K1013)</f>
        <v>1440</v>
      </c>
      <c r="P12" s="19" t="s">
        <v>59</v>
      </c>
      <c r="Q12" s="23">
        <f>SUMIF(F9:F1012,"Hiệp",K9:K1012)</f>
        <v>2824</v>
      </c>
    </row>
    <row r="13" spans="5:17">
      <c r="E13" s="10"/>
      <c r="F13" s="11" t="s">
        <v>13</v>
      </c>
      <c r="G13" s="11"/>
      <c r="H13" s="11"/>
      <c r="I13" s="21">
        <f t="shared" si="0"/>
        <v>0</v>
      </c>
      <c r="J13" s="22">
        <v>16</v>
      </c>
      <c r="K13" s="22">
        <f t="shared" si="1"/>
        <v>0</v>
      </c>
      <c r="L13" s="19" t="s">
        <v>13</v>
      </c>
      <c r="M13" s="19">
        <f>SUMIF(F10:F1013,"Quỳnh",K10:K1013)</f>
        <v>1504</v>
      </c>
      <c r="N13" s="19" t="s">
        <v>35</v>
      </c>
      <c r="O13" s="23">
        <f>SUMIF(F10:F1013,"Tuấn",K10:K1013)</f>
        <v>1965</v>
      </c>
      <c r="P13" s="19" t="s">
        <v>60</v>
      </c>
      <c r="Q13" s="23">
        <f>SUMIF(F10:F1013,"Vy",K10:K1013)</f>
        <v>645</v>
      </c>
    </row>
    <row r="14" spans="5:15">
      <c r="E14" s="13"/>
      <c r="F14" s="14" t="s">
        <v>14</v>
      </c>
      <c r="G14" s="15">
        <v>0.708333333333333</v>
      </c>
      <c r="H14" s="15">
        <v>0.916666666666667</v>
      </c>
      <c r="I14" s="21">
        <f t="shared" ref="I14:I77" si="2">(H14-G14)*24</f>
        <v>5.00000000000001</v>
      </c>
      <c r="J14" s="25">
        <v>16</v>
      </c>
      <c r="K14" s="22">
        <f t="shared" ref="K14:K77" si="3">(J14*I14)</f>
        <v>80.0000000000002</v>
      </c>
      <c r="L14" s="19" t="s">
        <v>14</v>
      </c>
      <c r="M14" s="19">
        <f>SUMIF(F10:F1013,"Lượng",K10:K1013)</f>
        <v>2416</v>
      </c>
      <c r="N14" s="19" t="s">
        <v>61</v>
      </c>
      <c r="O14" s="23">
        <f>SUMIF(F11:F1014,"Bo",K11:K1014)</f>
        <v>2040.5</v>
      </c>
    </row>
    <row r="15" spans="5:15">
      <c r="E15" s="10"/>
      <c r="F15" s="11" t="s">
        <v>9</v>
      </c>
      <c r="G15" s="12">
        <v>0.5</v>
      </c>
      <c r="H15" s="12">
        <v>0.708333333333333</v>
      </c>
      <c r="I15" s="21">
        <f t="shared" si="2"/>
        <v>4.99999999999999</v>
      </c>
      <c r="J15" s="22">
        <v>16</v>
      </c>
      <c r="K15" s="22">
        <f t="shared" si="3"/>
        <v>79.9999999999999</v>
      </c>
      <c r="L15" s="26" t="s">
        <v>15</v>
      </c>
      <c r="M15" s="20">
        <f>(SUM(M10,M14,M13,M12,M11,O10,O11,O12,O13,O14,O15,Q10,Q11,Q12,Q13))</f>
        <v>23433</v>
      </c>
      <c r="N15" s="19" t="s">
        <v>62</v>
      </c>
      <c r="O15" s="23">
        <f>SUMIF(F12:F1015,"Trí",K12:K1015)</f>
        <v>1151.25</v>
      </c>
    </row>
    <row r="16" spans="6:11">
      <c r="F16" s="11" t="s">
        <v>34</v>
      </c>
      <c r="I16" s="21">
        <f t="shared" si="2"/>
        <v>0</v>
      </c>
      <c r="J16" s="33">
        <v>15</v>
      </c>
      <c r="K16" s="22">
        <f t="shared" si="3"/>
        <v>0</v>
      </c>
    </row>
    <row r="17" spans="6:11">
      <c r="F17" s="11" t="s">
        <v>35</v>
      </c>
      <c r="G17" s="12">
        <v>0.5</v>
      </c>
      <c r="H17" s="12">
        <v>0.708333333333333</v>
      </c>
      <c r="I17" s="21">
        <f t="shared" si="2"/>
        <v>4.99999999999999</v>
      </c>
      <c r="J17" s="33">
        <v>15</v>
      </c>
      <c r="K17" s="22">
        <f t="shared" si="3"/>
        <v>74.9999999999999</v>
      </c>
    </row>
    <row r="18" spans="6:11">
      <c r="F18" s="11" t="s">
        <v>33</v>
      </c>
      <c r="G18" s="15">
        <v>0.708333333333333</v>
      </c>
      <c r="H18" s="15">
        <v>0.916666666666667</v>
      </c>
      <c r="I18" s="21">
        <f t="shared" si="2"/>
        <v>5.00000000000001</v>
      </c>
      <c r="J18" s="33">
        <v>15</v>
      </c>
      <c r="K18" s="22">
        <f t="shared" si="3"/>
        <v>75.0000000000002</v>
      </c>
    </row>
    <row r="19" spans="5:11">
      <c r="E19" s="7">
        <v>45934</v>
      </c>
      <c r="F19" s="8" t="s">
        <v>8</v>
      </c>
      <c r="G19" s="9">
        <v>0.25</v>
      </c>
      <c r="H19" s="9">
        <v>0.458333333333333</v>
      </c>
      <c r="I19" s="17">
        <f t="shared" si="2"/>
        <v>4.99999999999999</v>
      </c>
      <c r="J19" s="18">
        <v>16</v>
      </c>
      <c r="K19" s="18">
        <f t="shared" si="3"/>
        <v>79.9999999999999</v>
      </c>
    </row>
    <row r="20" spans="5:11">
      <c r="E20" s="10"/>
      <c r="F20" s="11" t="s">
        <v>10</v>
      </c>
      <c r="G20" s="12"/>
      <c r="H20" s="12"/>
      <c r="I20" s="21">
        <f t="shared" si="2"/>
        <v>0</v>
      </c>
      <c r="J20" s="22">
        <v>16</v>
      </c>
      <c r="K20" s="22">
        <f t="shared" si="3"/>
        <v>0</v>
      </c>
    </row>
    <row r="21" spans="5:11">
      <c r="E21" s="10"/>
      <c r="F21" s="11" t="s">
        <v>12</v>
      </c>
      <c r="G21" s="12">
        <v>0.25</v>
      </c>
      <c r="H21" s="12">
        <v>0.708333333333333</v>
      </c>
      <c r="I21" s="21">
        <f t="shared" si="2"/>
        <v>11</v>
      </c>
      <c r="J21" s="22">
        <v>16</v>
      </c>
      <c r="K21" s="22">
        <f t="shared" si="3"/>
        <v>176</v>
      </c>
    </row>
    <row r="22" spans="5:11">
      <c r="E22" s="10"/>
      <c r="F22" s="11" t="s">
        <v>13</v>
      </c>
      <c r="G22" s="12">
        <v>0.5</v>
      </c>
      <c r="H22" s="12">
        <v>0.916666666666667</v>
      </c>
      <c r="I22" s="21">
        <f t="shared" si="2"/>
        <v>10</v>
      </c>
      <c r="J22" s="22">
        <v>16</v>
      </c>
      <c r="K22" s="22">
        <f t="shared" si="3"/>
        <v>160</v>
      </c>
    </row>
    <row r="23" spans="5:11">
      <c r="E23" s="13"/>
      <c r="F23" s="14" t="s">
        <v>14</v>
      </c>
      <c r="G23" s="15">
        <v>0.708333333333333</v>
      </c>
      <c r="H23" s="15">
        <v>0.916666666666667</v>
      </c>
      <c r="I23" s="21">
        <f t="shared" si="2"/>
        <v>5.00000000000001</v>
      </c>
      <c r="J23" s="25">
        <v>16</v>
      </c>
      <c r="K23" s="22">
        <f t="shared" si="3"/>
        <v>80.0000000000002</v>
      </c>
    </row>
    <row r="24" spans="5:11">
      <c r="E24" s="10"/>
      <c r="F24" s="11" t="s">
        <v>9</v>
      </c>
      <c r="G24" s="12"/>
      <c r="H24" s="12"/>
      <c r="I24" s="21">
        <f t="shared" si="2"/>
        <v>0</v>
      </c>
      <c r="J24" s="22">
        <v>16</v>
      </c>
      <c r="K24" s="22">
        <f t="shared" si="3"/>
        <v>0</v>
      </c>
    </row>
    <row r="25" spans="6:11">
      <c r="F25" s="11" t="s">
        <v>34</v>
      </c>
      <c r="I25" s="21">
        <f t="shared" si="2"/>
        <v>0</v>
      </c>
      <c r="J25" s="33">
        <v>15</v>
      </c>
      <c r="K25" s="22">
        <f t="shared" si="3"/>
        <v>0</v>
      </c>
    </row>
    <row r="26" spans="6:11">
      <c r="F26" s="11" t="s">
        <v>35</v>
      </c>
      <c r="I26" s="21">
        <f t="shared" si="2"/>
        <v>0</v>
      </c>
      <c r="J26" s="33">
        <v>15</v>
      </c>
      <c r="K26" s="22">
        <f t="shared" si="3"/>
        <v>0</v>
      </c>
    </row>
    <row r="27" spans="6:11">
      <c r="F27" s="11" t="s">
        <v>33</v>
      </c>
      <c r="I27" s="21">
        <f t="shared" si="2"/>
        <v>0</v>
      </c>
      <c r="J27" s="33">
        <v>15</v>
      </c>
      <c r="K27" s="22">
        <f t="shared" si="3"/>
        <v>0</v>
      </c>
    </row>
    <row r="28" spans="5:11">
      <c r="E28" s="7">
        <v>45965</v>
      </c>
      <c r="F28" s="8" t="s">
        <v>8</v>
      </c>
      <c r="G28" s="9">
        <v>0.708333333333333</v>
      </c>
      <c r="H28" s="9">
        <v>0.916666666666667</v>
      </c>
      <c r="I28" s="17">
        <f t="shared" si="2"/>
        <v>5.00000000000001</v>
      </c>
      <c r="J28" s="18">
        <v>16</v>
      </c>
      <c r="K28" s="18">
        <f t="shared" si="3"/>
        <v>80.0000000000002</v>
      </c>
    </row>
    <row r="29" spans="5:11">
      <c r="E29" s="10"/>
      <c r="F29" s="11" t="s">
        <v>10</v>
      </c>
      <c r="G29" s="15">
        <v>0.708333333333333</v>
      </c>
      <c r="H29" s="15">
        <v>0.916666666666667</v>
      </c>
      <c r="I29" s="21">
        <f t="shared" si="2"/>
        <v>5.00000000000001</v>
      </c>
      <c r="J29" s="22">
        <v>16</v>
      </c>
      <c r="K29" s="22">
        <f t="shared" si="3"/>
        <v>80.0000000000002</v>
      </c>
    </row>
    <row r="30" spans="5:11">
      <c r="E30" s="10"/>
      <c r="F30" s="11" t="s">
        <v>12</v>
      </c>
      <c r="G30" s="15">
        <v>0.25</v>
      </c>
      <c r="H30" s="15">
        <v>0.458333333333333</v>
      </c>
      <c r="I30" s="21">
        <f t="shared" si="2"/>
        <v>4.99999999999999</v>
      </c>
      <c r="J30" s="22">
        <v>16</v>
      </c>
      <c r="K30" s="22">
        <f t="shared" si="3"/>
        <v>79.9999999999999</v>
      </c>
    </row>
    <row r="31" spans="5:11">
      <c r="E31" s="10"/>
      <c r="F31" s="11" t="s">
        <v>13</v>
      </c>
      <c r="G31" s="12">
        <v>0.5</v>
      </c>
      <c r="H31" s="12">
        <v>0.708333333333333</v>
      </c>
      <c r="I31" s="21">
        <f t="shared" si="2"/>
        <v>4.99999999999999</v>
      </c>
      <c r="J31" s="22">
        <v>16</v>
      </c>
      <c r="K31" s="22">
        <f t="shared" si="3"/>
        <v>79.9999999999999</v>
      </c>
    </row>
    <row r="32" spans="5:11">
      <c r="E32" s="13"/>
      <c r="F32" s="14" t="s">
        <v>14</v>
      </c>
      <c r="G32" s="15"/>
      <c r="H32" s="15"/>
      <c r="I32" s="21">
        <f t="shared" si="2"/>
        <v>0</v>
      </c>
      <c r="J32" s="25">
        <v>16</v>
      </c>
      <c r="K32" s="22">
        <f t="shared" si="3"/>
        <v>0</v>
      </c>
    </row>
    <row r="33" spans="5:11">
      <c r="E33" s="10"/>
      <c r="F33" s="11" t="s">
        <v>9</v>
      </c>
      <c r="G33" s="12"/>
      <c r="H33" s="12"/>
      <c r="I33" s="21">
        <f t="shared" si="2"/>
        <v>0</v>
      </c>
      <c r="J33" s="22">
        <v>16</v>
      </c>
      <c r="K33" s="22">
        <f t="shared" si="3"/>
        <v>0</v>
      </c>
    </row>
    <row r="34" spans="6:11">
      <c r="F34" s="11" t="s">
        <v>34</v>
      </c>
      <c r="I34" s="21">
        <f t="shared" si="2"/>
        <v>0</v>
      </c>
      <c r="J34" s="33">
        <v>15</v>
      </c>
      <c r="K34" s="22">
        <f t="shared" si="3"/>
        <v>0</v>
      </c>
    </row>
    <row r="35" spans="6:11">
      <c r="F35" s="11" t="s">
        <v>35</v>
      </c>
      <c r="G35" s="12">
        <v>0.25</v>
      </c>
      <c r="H35" s="12">
        <v>0.708333333333333</v>
      </c>
      <c r="I35" s="21">
        <f t="shared" si="2"/>
        <v>11</v>
      </c>
      <c r="J35" s="33">
        <v>15</v>
      </c>
      <c r="K35" s="22">
        <f t="shared" si="3"/>
        <v>165</v>
      </c>
    </row>
    <row r="36" spans="6:11">
      <c r="F36" s="11" t="s">
        <v>33</v>
      </c>
      <c r="I36" s="21">
        <f t="shared" si="2"/>
        <v>0</v>
      </c>
      <c r="J36" s="33">
        <v>15</v>
      </c>
      <c r="K36" s="22">
        <f t="shared" si="3"/>
        <v>0</v>
      </c>
    </row>
    <row r="37" spans="5:11">
      <c r="E37" s="7">
        <v>45995</v>
      </c>
      <c r="F37" s="8" t="s">
        <v>8</v>
      </c>
      <c r="G37" s="9">
        <v>0.708333333333333</v>
      </c>
      <c r="H37" s="9">
        <v>0.916666666666667</v>
      </c>
      <c r="I37" s="17">
        <f t="shared" si="2"/>
        <v>5.00000000000001</v>
      </c>
      <c r="J37" s="18">
        <v>16</v>
      </c>
      <c r="K37" s="18">
        <f t="shared" si="3"/>
        <v>80.0000000000002</v>
      </c>
    </row>
    <row r="38" spans="5:11">
      <c r="E38" s="10"/>
      <c r="F38" s="11" t="s">
        <v>10</v>
      </c>
      <c r="G38" s="12">
        <v>0.5</v>
      </c>
      <c r="H38" s="12">
        <v>0.708333333333333</v>
      </c>
      <c r="I38" s="21">
        <f t="shared" si="2"/>
        <v>4.99999999999999</v>
      </c>
      <c r="J38" s="22">
        <v>16</v>
      </c>
      <c r="K38" s="22">
        <f t="shared" si="3"/>
        <v>79.9999999999999</v>
      </c>
    </row>
    <row r="39" spans="5:11">
      <c r="E39" s="10"/>
      <c r="F39" s="11" t="s">
        <v>12</v>
      </c>
      <c r="G39" s="12">
        <v>0.5</v>
      </c>
      <c r="H39" s="12">
        <v>0.916666666666667</v>
      </c>
      <c r="I39" s="21">
        <f t="shared" si="2"/>
        <v>10</v>
      </c>
      <c r="J39" s="22">
        <v>16</v>
      </c>
      <c r="K39" s="22">
        <f t="shared" si="3"/>
        <v>160</v>
      </c>
    </row>
    <row r="40" spans="5:11">
      <c r="E40" s="10"/>
      <c r="F40" s="11" t="s">
        <v>13</v>
      </c>
      <c r="G40" s="12"/>
      <c r="H40" s="12"/>
      <c r="I40" s="21">
        <f t="shared" si="2"/>
        <v>0</v>
      </c>
      <c r="J40" s="22">
        <v>16</v>
      </c>
      <c r="K40" s="22">
        <f t="shared" si="3"/>
        <v>0</v>
      </c>
    </row>
    <row r="41" spans="5:11">
      <c r="E41" s="13"/>
      <c r="F41" s="14" t="s">
        <v>14</v>
      </c>
      <c r="G41" s="15"/>
      <c r="H41" s="15"/>
      <c r="I41" s="21">
        <f t="shared" si="2"/>
        <v>0</v>
      </c>
      <c r="J41" s="25">
        <v>16</v>
      </c>
      <c r="K41" s="22">
        <f t="shared" si="3"/>
        <v>0</v>
      </c>
    </row>
    <row r="42" spans="5:11">
      <c r="E42" s="10"/>
      <c r="F42" s="11" t="s">
        <v>9</v>
      </c>
      <c r="G42" s="12">
        <v>0.25</v>
      </c>
      <c r="H42" s="12">
        <v>0.5</v>
      </c>
      <c r="I42" s="21">
        <f t="shared" si="2"/>
        <v>6</v>
      </c>
      <c r="J42" s="22">
        <v>16</v>
      </c>
      <c r="K42" s="22">
        <f t="shared" si="3"/>
        <v>96</v>
      </c>
    </row>
    <row r="43" spans="6:11">
      <c r="F43" s="11" t="s">
        <v>34</v>
      </c>
      <c r="I43" s="21">
        <f t="shared" si="2"/>
        <v>0</v>
      </c>
      <c r="J43" s="33">
        <v>15</v>
      </c>
      <c r="K43" s="22">
        <f t="shared" si="3"/>
        <v>0</v>
      </c>
    </row>
    <row r="44" spans="6:11">
      <c r="F44" s="11" t="s">
        <v>35</v>
      </c>
      <c r="G44" s="12">
        <v>0.25</v>
      </c>
      <c r="H44" s="12">
        <v>0.5</v>
      </c>
      <c r="I44" s="21">
        <f t="shared" si="2"/>
        <v>6</v>
      </c>
      <c r="J44" s="33">
        <v>15</v>
      </c>
      <c r="K44" s="22">
        <f t="shared" si="3"/>
        <v>90</v>
      </c>
    </row>
    <row r="45" spans="6:11">
      <c r="F45" s="11" t="s">
        <v>33</v>
      </c>
      <c r="I45" s="21">
        <f t="shared" si="2"/>
        <v>0</v>
      </c>
      <c r="J45" s="33">
        <v>15</v>
      </c>
      <c r="K45" s="22">
        <f t="shared" si="3"/>
        <v>0</v>
      </c>
    </row>
    <row r="46" spans="5:11">
      <c r="E46" s="7" t="s">
        <v>63</v>
      </c>
      <c r="F46" s="8" t="s">
        <v>8</v>
      </c>
      <c r="G46" s="9"/>
      <c r="H46" s="9"/>
      <c r="I46" s="17">
        <f t="shared" si="2"/>
        <v>0</v>
      </c>
      <c r="J46" s="18">
        <v>16</v>
      </c>
      <c r="K46" s="18">
        <f t="shared" si="3"/>
        <v>0</v>
      </c>
    </row>
    <row r="47" spans="5:11">
      <c r="E47" s="10"/>
      <c r="F47" s="11" t="s">
        <v>10</v>
      </c>
      <c r="G47" s="15">
        <v>0.708333333333333</v>
      </c>
      <c r="H47" s="15">
        <v>0.916666666666667</v>
      </c>
      <c r="I47" s="21">
        <f t="shared" si="2"/>
        <v>5.00000000000001</v>
      </c>
      <c r="J47" s="22">
        <v>16</v>
      </c>
      <c r="K47" s="22">
        <f t="shared" si="3"/>
        <v>80.0000000000002</v>
      </c>
    </row>
    <row r="48" spans="5:11">
      <c r="E48" s="10"/>
      <c r="F48" s="11" t="s">
        <v>61</v>
      </c>
      <c r="G48" s="15">
        <v>0.583333333333333</v>
      </c>
      <c r="H48" s="15">
        <v>0.916666666666667</v>
      </c>
      <c r="I48" s="21">
        <f t="shared" si="2"/>
        <v>8.00000000000001</v>
      </c>
      <c r="J48" s="22">
        <v>17</v>
      </c>
      <c r="K48" s="22">
        <f t="shared" si="3"/>
        <v>136</v>
      </c>
    </row>
    <row r="49" spans="5:11">
      <c r="E49" s="10"/>
      <c r="F49" s="11" t="s">
        <v>14</v>
      </c>
      <c r="G49" s="12">
        <v>0.25</v>
      </c>
      <c r="H49" s="12">
        <v>0.5</v>
      </c>
      <c r="I49" s="21">
        <f t="shared" si="2"/>
        <v>6</v>
      </c>
      <c r="J49" s="22">
        <v>16</v>
      </c>
      <c r="K49" s="22">
        <f t="shared" si="3"/>
        <v>96</v>
      </c>
    </row>
    <row r="50" spans="5:11">
      <c r="E50" s="13"/>
      <c r="F50" s="14" t="s">
        <v>14</v>
      </c>
      <c r="G50" s="15">
        <v>0.708333333333333</v>
      </c>
      <c r="H50" s="15">
        <v>0.916666666666667</v>
      </c>
      <c r="I50" s="21">
        <f t="shared" si="2"/>
        <v>5.00000000000001</v>
      </c>
      <c r="J50" s="25">
        <v>16</v>
      </c>
      <c r="K50" s="22">
        <f t="shared" si="3"/>
        <v>80.0000000000002</v>
      </c>
    </row>
    <row r="51" spans="5:11">
      <c r="E51" s="10"/>
      <c r="F51" s="11" t="s">
        <v>9</v>
      </c>
      <c r="G51" s="12">
        <v>0.5</v>
      </c>
      <c r="H51" s="12">
        <v>0.708333333333333</v>
      </c>
      <c r="I51" s="21">
        <f t="shared" si="2"/>
        <v>4.99999999999999</v>
      </c>
      <c r="J51" s="22">
        <v>16</v>
      </c>
      <c r="K51" s="22">
        <f t="shared" si="3"/>
        <v>79.9999999999999</v>
      </c>
    </row>
    <row r="52" spans="6:11">
      <c r="F52" s="11" t="s">
        <v>34</v>
      </c>
      <c r="I52" s="21">
        <f t="shared" si="2"/>
        <v>0</v>
      </c>
      <c r="J52" s="33">
        <v>15</v>
      </c>
      <c r="K52" s="22">
        <f t="shared" si="3"/>
        <v>0</v>
      </c>
    </row>
    <row r="53" spans="6:11">
      <c r="F53" s="11" t="s">
        <v>35</v>
      </c>
      <c r="I53" s="21">
        <f t="shared" si="2"/>
        <v>0</v>
      </c>
      <c r="J53" s="33">
        <v>15</v>
      </c>
      <c r="K53" s="22">
        <f t="shared" si="3"/>
        <v>0</v>
      </c>
    </row>
    <row r="54" spans="6:11">
      <c r="F54" s="11" t="s">
        <v>33</v>
      </c>
      <c r="G54" s="12">
        <v>0.5</v>
      </c>
      <c r="H54" s="12">
        <v>0.708333333333333</v>
      </c>
      <c r="I54" s="21">
        <f t="shared" si="2"/>
        <v>4.99999999999999</v>
      </c>
      <c r="J54" s="33">
        <v>15</v>
      </c>
      <c r="K54" s="22">
        <f t="shared" si="3"/>
        <v>74.9999999999999</v>
      </c>
    </row>
    <row r="55" spans="5:11">
      <c r="E55" s="7" t="s">
        <v>64</v>
      </c>
      <c r="F55" s="8" t="s">
        <v>8</v>
      </c>
      <c r="G55" s="9">
        <v>0.708333333333333</v>
      </c>
      <c r="H55" s="9">
        <v>0.916666666666667</v>
      </c>
      <c r="I55" s="17">
        <f t="shared" si="2"/>
        <v>5.00000000000001</v>
      </c>
      <c r="J55" s="18">
        <v>16</v>
      </c>
      <c r="K55" s="18">
        <f t="shared" si="3"/>
        <v>80.0000000000002</v>
      </c>
    </row>
    <row r="56" spans="5:11">
      <c r="E56" s="10"/>
      <c r="F56" s="11" t="s">
        <v>10</v>
      </c>
      <c r="G56" s="12">
        <v>0.25</v>
      </c>
      <c r="H56" s="12">
        <v>0.458333333333333</v>
      </c>
      <c r="I56" s="21">
        <f t="shared" si="2"/>
        <v>4.99999999999999</v>
      </c>
      <c r="J56" s="22">
        <v>16</v>
      </c>
      <c r="K56" s="22">
        <f t="shared" si="3"/>
        <v>79.9999999999999</v>
      </c>
    </row>
    <row r="57" spans="5:11">
      <c r="E57" s="10"/>
      <c r="F57" s="11" t="s">
        <v>12</v>
      </c>
      <c r="G57" s="15">
        <v>0.708333333333333</v>
      </c>
      <c r="H57" s="15">
        <v>0.916666666666667</v>
      </c>
      <c r="I57" s="21">
        <f t="shared" si="2"/>
        <v>5.00000000000001</v>
      </c>
      <c r="J57" s="22">
        <v>16</v>
      </c>
      <c r="K57" s="22">
        <f t="shared" si="3"/>
        <v>80.0000000000002</v>
      </c>
    </row>
    <row r="58" spans="5:11">
      <c r="E58" s="10"/>
      <c r="F58" s="11" t="s">
        <v>61</v>
      </c>
      <c r="G58" s="12">
        <v>0.25</v>
      </c>
      <c r="H58" s="12">
        <v>0.458333333333333</v>
      </c>
      <c r="I58" s="21">
        <f t="shared" si="2"/>
        <v>4.99999999999999</v>
      </c>
      <c r="J58" s="22">
        <v>17</v>
      </c>
      <c r="K58" s="22">
        <f t="shared" si="3"/>
        <v>84.9999999999998</v>
      </c>
    </row>
    <row r="59" spans="5:11">
      <c r="E59" s="13"/>
      <c r="F59" s="14" t="s">
        <v>14</v>
      </c>
      <c r="G59" s="12">
        <v>0.25</v>
      </c>
      <c r="H59" s="12">
        <v>0.5</v>
      </c>
      <c r="I59" s="21">
        <f t="shared" si="2"/>
        <v>6</v>
      </c>
      <c r="J59" s="25">
        <v>16</v>
      </c>
      <c r="K59" s="22">
        <f t="shared" si="3"/>
        <v>96</v>
      </c>
    </row>
    <row r="60" spans="5:11">
      <c r="E60" s="10"/>
      <c r="F60" s="11" t="s">
        <v>9</v>
      </c>
      <c r="G60" s="12">
        <v>0.541666666666667</v>
      </c>
      <c r="H60" s="12">
        <v>0.708333333333333</v>
      </c>
      <c r="I60" s="21">
        <f t="shared" si="2"/>
        <v>3.99999999999999</v>
      </c>
      <c r="J60" s="22">
        <v>16</v>
      </c>
      <c r="K60" s="22">
        <f t="shared" si="3"/>
        <v>63.9999999999998</v>
      </c>
    </row>
    <row r="61" spans="5:11">
      <c r="E61" s="29"/>
      <c r="F61" s="30" t="s">
        <v>34</v>
      </c>
      <c r="G61" s="31"/>
      <c r="H61" s="31"/>
      <c r="I61" s="34">
        <f t="shared" si="2"/>
        <v>0</v>
      </c>
      <c r="J61" s="35">
        <v>15</v>
      </c>
      <c r="K61" s="36">
        <f t="shared" si="3"/>
        <v>0</v>
      </c>
    </row>
    <row r="62" spans="5:11">
      <c r="E62" s="29"/>
      <c r="F62" s="30" t="s">
        <v>35</v>
      </c>
      <c r="G62" s="32">
        <v>0.5</v>
      </c>
      <c r="H62" s="32">
        <v>0.708333333333333</v>
      </c>
      <c r="I62" s="34">
        <f t="shared" si="2"/>
        <v>4.99999999999999</v>
      </c>
      <c r="J62" s="35">
        <v>15</v>
      </c>
      <c r="K62" s="36">
        <f t="shared" si="3"/>
        <v>74.9999999999999</v>
      </c>
    </row>
    <row r="63" spans="5:11">
      <c r="E63" s="29"/>
      <c r="F63" s="30" t="s">
        <v>33</v>
      </c>
      <c r="G63" s="31"/>
      <c r="H63" s="31"/>
      <c r="I63" s="34">
        <f t="shared" si="2"/>
        <v>0</v>
      </c>
      <c r="J63" s="35">
        <v>15</v>
      </c>
      <c r="K63" s="36">
        <f t="shared" si="3"/>
        <v>0</v>
      </c>
    </row>
    <row r="64" spans="5:11">
      <c r="E64" s="7" t="s">
        <v>65</v>
      </c>
      <c r="F64" s="8" t="s">
        <v>8</v>
      </c>
      <c r="G64" s="9">
        <v>0.25</v>
      </c>
      <c r="H64" s="9">
        <v>0.458333333333333</v>
      </c>
      <c r="I64" s="17">
        <f t="shared" si="2"/>
        <v>4.99999999999999</v>
      </c>
      <c r="J64" s="18">
        <v>16</v>
      </c>
      <c r="K64" s="18">
        <f t="shared" si="3"/>
        <v>79.9999999999999</v>
      </c>
    </row>
    <row r="65" spans="5:11">
      <c r="E65" s="10"/>
      <c r="F65" s="11" t="s">
        <v>61</v>
      </c>
      <c r="G65" s="12">
        <v>0.25</v>
      </c>
      <c r="H65" s="12">
        <v>0.458333333333333</v>
      </c>
      <c r="I65" s="21">
        <f t="shared" si="2"/>
        <v>4.99999999999999</v>
      </c>
      <c r="J65" s="22">
        <v>17</v>
      </c>
      <c r="K65" s="22">
        <f t="shared" si="3"/>
        <v>84.9999999999998</v>
      </c>
    </row>
    <row r="66" spans="5:11">
      <c r="E66" s="10"/>
      <c r="F66" s="11" t="s">
        <v>12</v>
      </c>
      <c r="G66" s="12"/>
      <c r="H66" s="12"/>
      <c r="I66" s="21">
        <f t="shared" si="2"/>
        <v>0</v>
      </c>
      <c r="J66" s="22">
        <v>16</v>
      </c>
      <c r="K66" s="22">
        <f t="shared" si="3"/>
        <v>0</v>
      </c>
    </row>
    <row r="67" spans="5:11">
      <c r="E67" s="10"/>
      <c r="F67" s="11" t="s">
        <v>13</v>
      </c>
      <c r="G67" s="15">
        <v>0.708333333333333</v>
      </c>
      <c r="H67" s="15">
        <v>0.916666666666667</v>
      </c>
      <c r="I67" s="21">
        <f t="shared" si="2"/>
        <v>5.00000000000001</v>
      </c>
      <c r="J67" s="22">
        <v>16</v>
      </c>
      <c r="K67" s="22">
        <f t="shared" si="3"/>
        <v>80.0000000000002</v>
      </c>
    </row>
    <row r="68" spans="5:11">
      <c r="E68" s="13"/>
      <c r="F68" s="14" t="s">
        <v>14</v>
      </c>
      <c r="G68" s="15">
        <v>0.708333333333333</v>
      </c>
      <c r="H68" s="15">
        <v>0.916666666666667</v>
      </c>
      <c r="I68" s="21">
        <f t="shared" si="2"/>
        <v>5.00000000000001</v>
      </c>
      <c r="J68" s="25">
        <v>16</v>
      </c>
      <c r="K68" s="22">
        <f t="shared" si="3"/>
        <v>80.0000000000002</v>
      </c>
    </row>
    <row r="69" spans="5:11">
      <c r="E69" s="10"/>
      <c r="F69" s="11" t="s">
        <v>9</v>
      </c>
      <c r="G69" s="12">
        <v>0.25</v>
      </c>
      <c r="H69" s="12">
        <v>0.708333333333333</v>
      </c>
      <c r="I69" s="21">
        <f t="shared" si="2"/>
        <v>11</v>
      </c>
      <c r="J69" s="22">
        <v>16</v>
      </c>
      <c r="K69" s="22">
        <f t="shared" si="3"/>
        <v>176</v>
      </c>
    </row>
    <row r="70" spans="5:11">
      <c r="E70" s="29"/>
      <c r="F70" s="30" t="s">
        <v>34</v>
      </c>
      <c r="G70" s="31"/>
      <c r="H70" s="31"/>
      <c r="I70" s="34">
        <f t="shared" si="2"/>
        <v>0</v>
      </c>
      <c r="J70" s="35">
        <v>15</v>
      </c>
      <c r="K70" s="36">
        <f t="shared" si="3"/>
        <v>0</v>
      </c>
    </row>
    <row r="71" spans="5:11">
      <c r="E71" s="29"/>
      <c r="F71" s="30" t="s">
        <v>35</v>
      </c>
      <c r="G71" s="32">
        <v>0.5</v>
      </c>
      <c r="H71" s="32">
        <v>0.708333333333333</v>
      </c>
      <c r="I71" s="34">
        <f t="shared" si="2"/>
        <v>4.99999999999999</v>
      </c>
      <c r="J71" s="35">
        <v>15</v>
      </c>
      <c r="K71" s="36">
        <f t="shared" si="3"/>
        <v>74.9999999999999</v>
      </c>
    </row>
    <row r="72" spans="5:11">
      <c r="E72" s="29"/>
      <c r="F72" s="30" t="s">
        <v>33</v>
      </c>
      <c r="G72" s="31"/>
      <c r="H72" s="31"/>
      <c r="I72" s="34">
        <f t="shared" si="2"/>
        <v>0</v>
      </c>
      <c r="J72" s="35">
        <v>15</v>
      </c>
      <c r="K72" s="36">
        <f t="shared" si="3"/>
        <v>0</v>
      </c>
    </row>
    <row r="73" spans="5:11">
      <c r="E73" s="7" t="s">
        <v>66</v>
      </c>
      <c r="F73" s="8" t="s">
        <v>8</v>
      </c>
      <c r="G73" s="9">
        <v>0.25</v>
      </c>
      <c r="H73" s="9">
        <v>0.458333333333333</v>
      </c>
      <c r="I73" s="17">
        <f t="shared" si="2"/>
        <v>4.99999999999999</v>
      </c>
      <c r="J73" s="18">
        <v>16</v>
      </c>
      <c r="K73" s="18">
        <f t="shared" si="3"/>
        <v>79.9999999999999</v>
      </c>
    </row>
    <row r="74" spans="5:11">
      <c r="E74" s="10"/>
      <c r="F74" s="11" t="s">
        <v>61</v>
      </c>
      <c r="G74" s="12">
        <v>0.25</v>
      </c>
      <c r="H74" s="12">
        <v>0.5</v>
      </c>
      <c r="I74" s="21">
        <f t="shared" si="2"/>
        <v>6</v>
      </c>
      <c r="J74" s="22">
        <v>17</v>
      </c>
      <c r="K74" s="22">
        <f t="shared" si="3"/>
        <v>102</v>
      </c>
    </row>
    <row r="75" spans="5:11">
      <c r="E75" s="10"/>
      <c r="F75" s="11" t="s">
        <v>12</v>
      </c>
      <c r="G75" s="12">
        <v>0.25</v>
      </c>
      <c r="H75" s="12">
        <v>0.458333333333333</v>
      </c>
      <c r="I75" s="21">
        <f t="shared" si="2"/>
        <v>4.99999999999999</v>
      </c>
      <c r="J75" s="22">
        <v>16</v>
      </c>
      <c r="K75" s="22">
        <f t="shared" si="3"/>
        <v>79.9999999999999</v>
      </c>
    </row>
    <row r="76" spans="5:11">
      <c r="E76" s="10"/>
      <c r="F76" s="11" t="s">
        <v>13</v>
      </c>
      <c r="G76" s="15">
        <v>0.708333333333333</v>
      </c>
      <c r="H76" s="15">
        <v>0.916666666666667</v>
      </c>
      <c r="I76" s="21">
        <f t="shared" si="2"/>
        <v>5.00000000000001</v>
      </c>
      <c r="J76" s="22">
        <v>16</v>
      </c>
      <c r="K76" s="22">
        <f t="shared" si="3"/>
        <v>80.0000000000002</v>
      </c>
    </row>
    <row r="77" spans="5:11">
      <c r="E77" s="13"/>
      <c r="F77" s="14" t="s">
        <v>14</v>
      </c>
      <c r="G77" s="15"/>
      <c r="H77" s="15"/>
      <c r="I77" s="21">
        <f t="shared" si="2"/>
        <v>0</v>
      </c>
      <c r="J77" s="25">
        <v>16</v>
      </c>
      <c r="K77" s="22">
        <f t="shared" si="3"/>
        <v>0</v>
      </c>
    </row>
    <row r="78" spans="5:11">
      <c r="E78" s="10"/>
      <c r="F78" s="11" t="s">
        <v>9</v>
      </c>
      <c r="G78" s="12"/>
      <c r="H78" s="12"/>
      <c r="I78" s="21">
        <f t="shared" ref="I78:I135" si="4">(H78-G78)*24</f>
        <v>0</v>
      </c>
      <c r="J78" s="22">
        <v>16</v>
      </c>
      <c r="K78" s="22">
        <f t="shared" ref="K78:K135" si="5">(J78*I78)</f>
        <v>0</v>
      </c>
    </row>
    <row r="79" spans="5:11">
      <c r="E79" s="29"/>
      <c r="F79" s="30" t="s">
        <v>34</v>
      </c>
      <c r="G79" s="32">
        <v>0.5</v>
      </c>
      <c r="H79" s="32">
        <v>0.916666666666667</v>
      </c>
      <c r="I79" s="34">
        <f t="shared" si="4"/>
        <v>10</v>
      </c>
      <c r="J79" s="35">
        <v>15</v>
      </c>
      <c r="K79" s="36">
        <f t="shared" si="5"/>
        <v>150</v>
      </c>
    </row>
    <row r="80" spans="5:11">
      <c r="E80" s="29"/>
      <c r="F80" s="30" t="s">
        <v>35</v>
      </c>
      <c r="G80" s="32">
        <v>0.5</v>
      </c>
      <c r="H80" s="32">
        <v>0.708333333333333</v>
      </c>
      <c r="I80" s="34">
        <f t="shared" si="4"/>
        <v>4.99999999999999</v>
      </c>
      <c r="J80" s="35">
        <v>15</v>
      </c>
      <c r="K80" s="36">
        <f t="shared" si="5"/>
        <v>74.9999999999999</v>
      </c>
    </row>
    <row r="81" spans="5:11">
      <c r="E81" s="29"/>
      <c r="F81" s="30" t="s">
        <v>33</v>
      </c>
      <c r="G81" s="31"/>
      <c r="H81" s="31"/>
      <c r="I81" s="34">
        <f t="shared" si="4"/>
        <v>0</v>
      </c>
      <c r="J81" s="35">
        <v>15</v>
      </c>
      <c r="K81" s="36">
        <f t="shared" si="5"/>
        <v>0</v>
      </c>
    </row>
    <row r="82" spans="5:11">
      <c r="E82" s="7" t="s">
        <v>67</v>
      </c>
      <c r="F82" s="8" t="s">
        <v>8</v>
      </c>
      <c r="G82" s="9">
        <v>0.708333333333333</v>
      </c>
      <c r="H82" s="9">
        <v>0.916666666666667</v>
      </c>
      <c r="I82" s="17">
        <f t="shared" si="4"/>
        <v>5.00000000000001</v>
      </c>
      <c r="J82" s="18">
        <v>16</v>
      </c>
      <c r="K82" s="18">
        <f t="shared" si="5"/>
        <v>80.0000000000002</v>
      </c>
    </row>
    <row r="83" spans="5:11">
      <c r="E83" s="10"/>
      <c r="F83" s="11" t="s">
        <v>61</v>
      </c>
      <c r="G83" s="12">
        <v>0.25</v>
      </c>
      <c r="H83" s="12">
        <v>0.5</v>
      </c>
      <c r="I83" s="21">
        <f t="shared" si="4"/>
        <v>6</v>
      </c>
      <c r="J83" s="22">
        <v>17</v>
      </c>
      <c r="K83" s="22">
        <f t="shared" si="5"/>
        <v>102</v>
      </c>
    </row>
    <row r="84" spans="5:11">
      <c r="E84" s="10"/>
      <c r="F84" s="11" t="s">
        <v>12</v>
      </c>
      <c r="G84" s="12">
        <v>0.25</v>
      </c>
      <c r="H84" s="12">
        <v>0.5</v>
      </c>
      <c r="I84" s="21">
        <f t="shared" si="4"/>
        <v>6</v>
      </c>
      <c r="J84" s="22">
        <v>16</v>
      </c>
      <c r="K84" s="22">
        <f t="shared" si="5"/>
        <v>96</v>
      </c>
    </row>
    <row r="85" spans="5:11">
      <c r="E85" s="10"/>
      <c r="F85" s="11" t="s">
        <v>61</v>
      </c>
      <c r="G85" s="12">
        <v>0.708333333333333</v>
      </c>
      <c r="H85" s="12">
        <v>0.916666666666667</v>
      </c>
      <c r="I85" s="21">
        <f t="shared" si="4"/>
        <v>5.00000000000001</v>
      </c>
      <c r="J85" s="22">
        <v>17</v>
      </c>
      <c r="K85" s="22">
        <f t="shared" si="5"/>
        <v>85.0000000000002</v>
      </c>
    </row>
    <row r="86" spans="5:11">
      <c r="E86" s="13"/>
      <c r="F86" s="14" t="s">
        <v>14</v>
      </c>
      <c r="G86" s="15">
        <v>0.708333333333333</v>
      </c>
      <c r="H86" s="15">
        <v>0.916666666666667</v>
      </c>
      <c r="I86" s="21">
        <f t="shared" si="4"/>
        <v>5.00000000000001</v>
      </c>
      <c r="J86" s="25">
        <v>16</v>
      </c>
      <c r="K86" s="22">
        <f t="shared" si="5"/>
        <v>80.0000000000002</v>
      </c>
    </row>
    <row r="87" spans="5:11">
      <c r="E87" s="10"/>
      <c r="F87" s="11" t="s">
        <v>9</v>
      </c>
      <c r="G87" s="12"/>
      <c r="H87" s="12"/>
      <c r="I87" s="21">
        <f t="shared" si="4"/>
        <v>0</v>
      </c>
      <c r="J87" s="22">
        <v>16</v>
      </c>
      <c r="K87" s="22">
        <f t="shared" si="5"/>
        <v>0</v>
      </c>
    </row>
    <row r="88" spans="5:11">
      <c r="E88" s="29"/>
      <c r="F88" s="30" t="s">
        <v>34</v>
      </c>
      <c r="G88" s="32">
        <v>0.5</v>
      </c>
      <c r="H88" s="32">
        <v>0.708333333333333</v>
      </c>
      <c r="I88" s="34">
        <f t="shared" si="4"/>
        <v>4.99999999999999</v>
      </c>
      <c r="J88" s="35">
        <v>15</v>
      </c>
      <c r="K88" s="36">
        <f t="shared" si="5"/>
        <v>74.9999999999999</v>
      </c>
    </row>
    <row r="89" spans="5:11">
      <c r="E89" s="29"/>
      <c r="F89" s="30" t="s">
        <v>35</v>
      </c>
      <c r="G89" s="32">
        <v>0.25</v>
      </c>
      <c r="H89" s="32">
        <v>0.5</v>
      </c>
      <c r="I89" s="34">
        <f t="shared" si="4"/>
        <v>6</v>
      </c>
      <c r="J89" s="35">
        <v>15</v>
      </c>
      <c r="K89" s="36">
        <f t="shared" si="5"/>
        <v>90</v>
      </c>
    </row>
    <row r="90" spans="5:11">
      <c r="E90" s="29"/>
      <c r="F90" s="30" t="s">
        <v>33</v>
      </c>
      <c r="G90" s="32">
        <v>0.5</v>
      </c>
      <c r="H90" s="32">
        <v>0.708333333333333</v>
      </c>
      <c r="I90" s="34">
        <f t="shared" si="4"/>
        <v>4.99999999999999</v>
      </c>
      <c r="J90" s="35">
        <v>15</v>
      </c>
      <c r="K90" s="36">
        <f t="shared" si="5"/>
        <v>74.9999999999999</v>
      </c>
    </row>
    <row r="91" spans="5:11">
      <c r="E91" s="7" t="s">
        <v>68</v>
      </c>
      <c r="F91" s="8" t="s">
        <v>8</v>
      </c>
      <c r="G91" s="9">
        <v>0.25</v>
      </c>
      <c r="H91" s="9">
        <v>0.354166666666667</v>
      </c>
      <c r="I91" s="17">
        <f t="shared" si="4"/>
        <v>2.50000000000001</v>
      </c>
      <c r="J91" s="18">
        <v>16</v>
      </c>
      <c r="K91" s="18">
        <f t="shared" si="5"/>
        <v>40.0000000000001</v>
      </c>
    </row>
    <row r="92" spans="5:11">
      <c r="E92" s="10"/>
      <c r="F92" s="11" t="s">
        <v>10</v>
      </c>
      <c r="G92" s="12">
        <v>0.25</v>
      </c>
      <c r="H92" s="12">
        <v>0.458333333333333</v>
      </c>
      <c r="I92" s="21">
        <f t="shared" si="4"/>
        <v>4.99999999999999</v>
      </c>
      <c r="J92" s="22">
        <v>16</v>
      </c>
      <c r="K92" s="22">
        <f t="shared" si="5"/>
        <v>79.9999999999999</v>
      </c>
    </row>
    <row r="93" spans="5:11">
      <c r="E93" s="10"/>
      <c r="F93" s="11" t="s">
        <v>12</v>
      </c>
      <c r="G93" s="15">
        <v>0.708333333333333</v>
      </c>
      <c r="H93" s="15">
        <v>0.916666666666667</v>
      </c>
      <c r="I93" s="21">
        <f t="shared" si="4"/>
        <v>5.00000000000001</v>
      </c>
      <c r="J93" s="22">
        <v>16</v>
      </c>
      <c r="K93" s="22">
        <f t="shared" si="5"/>
        <v>80.0000000000002</v>
      </c>
    </row>
    <row r="94" spans="5:11">
      <c r="E94" s="10"/>
      <c r="F94" s="11" t="s">
        <v>13</v>
      </c>
      <c r="G94" s="12">
        <v>0.5</v>
      </c>
      <c r="H94" s="12">
        <v>0.708333333333333</v>
      </c>
      <c r="I94" s="21">
        <f t="shared" si="4"/>
        <v>4.99999999999999</v>
      </c>
      <c r="J94" s="22">
        <v>16</v>
      </c>
      <c r="K94" s="22">
        <f t="shared" si="5"/>
        <v>79.9999999999999</v>
      </c>
    </row>
    <row r="95" spans="5:11">
      <c r="E95" s="13"/>
      <c r="F95" s="14" t="s">
        <v>14</v>
      </c>
      <c r="G95" s="15">
        <v>0.75</v>
      </c>
      <c r="H95" s="15">
        <v>0.916666666666667</v>
      </c>
      <c r="I95" s="21">
        <f t="shared" si="4"/>
        <v>4.00000000000001</v>
      </c>
      <c r="J95" s="25">
        <v>16</v>
      </c>
      <c r="K95" s="22">
        <f t="shared" si="5"/>
        <v>64.0000000000001</v>
      </c>
    </row>
    <row r="96" spans="5:11">
      <c r="E96" s="10"/>
      <c r="F96" s="11" t="s">
        <v>14</v>
      </c>
      <c r="G96" s="12">
        <v>0.375</v>
      </c>
      <c r="H96" s="12">
        <v>0.5</v>
      </c>
      <c r="I96" s="21">
        <f t="shared" si="4"/>
        <v>3</v>
      </c>
      <c r="J96" s="22">
        <v>16</v>
      </c>
      <c r="K96" s="22">
        <f t="shared" si="5"/>
        <v>48</v>
      </c>
    </row>
    <row r="97" spans="5:11">
      <c r="E97" s="29"/>
      <c r="F97" s="11" t="s">
        <v>61</v>
      </c>
      <c r="G97" s="12">
        <v>0.291666666666667</v>
      </c>
      <c r="H97" s="12">
        <v>0.708333333333333</v>
      </c>
      <c r="I97" s="21">
        <f t="shared" si="4"/>
        <v>9.99999999999998</v>
      </c>
      <c r="J97" s="22">
        <v>17</v>
      </c>
      <c r="K97" s="36">
        <f t="shared" si="5"/>
        <v>170</v>
      </c>
    </row>
    <row r="98" spans="5:11">
      <c r="E98" s="29"/>
      <c r="F98" s="30" t="s">
        <v>35</v>
      </c>
      <c r="G98" s="32">
        <v>0.5</v>
      </c>
      <c r="H98" s="32">
        <v>0.708333333333333</v>
      </c>
      <c r="I98" s="34">
        <f t="shared" si="4"/>
        <v>4.99999999999999</v>
      </c>
      <c r="J98" s="35">
        <v>15</v>
      </c>
      <c r="K98" s="36">
        <f t="shared" si="5"/>
        <v>74.9999999999999</v>
      </c>
    </row>
    <row r="99" spans="5:11">
      <c r="E99" s="29"/>
      <c r="F99" s="30" t="s">
        <v>33</v>
      </c>
      <c r="G99" s="15">
        <v>0.708333333333333</v>
      </c>
      <c r="H99" s="15">
        <v>0.916666666666667</v>
      </c>
      <c r="I99" s="34">
        <f t="shared" si="4"/>
        <v>5.00000000000001</v>
      </c>
      <c r="J99" s="35">
        <v>15</v>
      </c>
      <c r="K99" s="36">
        <f t="shared" si="5"/>
        <v>75.0000000000002</v>
      </c>
    </row>
    <row r="100" spans="5:11">
      <c r="E100" s="7" t="s">
        <v>69</v>
      </c>
      <c r="F100" s="8" t="s">
        <v>8</v>
      </c>
      <c r="G100" s="9"/>
      <c r="H100" s="9"/>
      <c r="I100" s="17">
        <f t="shared" si="4"/>
        <v>0</v>
      </c>
      <c r="J100" s="18">
        <v>16</v>
      </c>
      <c r="K100" s="18">
        <f t="shared" si="5"/>
        <v>0</v>
      </c>
    </row>
    <row r="101" spans="5:11">
      <c r="E101" s="10"/>
      <c r="F101" s="11" t="s">
        <v>10</v>
      </c>
      <c r="G101" s="15">
        <v>0.708333333333333</v>
      </c>
      <c r="H101" s="15">
        <v>0.916666666666667</v>
      </c>
      <c r="I101" s="21">
        <f t="shared" si="4"/>
        <v>5.00000000000001</v>
      </c>
      <c r="J101" s="22">
        <v>16</v>
      </c>
      <c r="K101" s="22">
        <f t="shared" si="5"/>
        <v>80.0000000000002</v>
      </c>
    </row>
    <row r="102" spans="5:11">
      <c r="E102" s="10"/>
      <c r="F102" s="11" t="s">
        <v>12</v>
      </c>
      <c r="G102" s="12">
        <v>0.5</v>
      </c>
      <c r="H102" s="12">
        <v>0.708333333333333</v>
      </c>
      <c r="I102" s="21">
        <f t="shared" si="4"/>
        <v>4.99999999999999</v>
      </c>
      <c r="J102" s="22">
        <v>16</v>
      </c>
      <c r="K102" s="22">
        <f t="shared" si="5"/>
        <v>79.9999999999999</v>
      </c>
    </row>
    <row r="103" spans="5:11">
      <c r="E103" s="10"/>
      <c r="F103" s="11" t="s">
        <v>13</v>
      </c>
      <c r="G103" s="12"/>
      <c r="H103" s="12"/>
      <c r="I103" s="21">
        <f t="shared" si="4"/>
        <v>0</v>
      </c>
      <c r="J103" s="22">
        <v>16</v>
      </c>
      <c r="K103" s="22">
        <f t="shared" si="5"/>
        <v>0</v>
      </c>
    </row>
    <row r="104" spans="5:11">
      <c r="E104" s="13"/>
      <c r="F104" s="14" t="s">
        <v>14</v>
      </c>
      <c r="G104" s="15">
        <v>0.708333333333333</v>
      </c>
      <c r="H104" s="15">
        <v>0.916666666666667</v>
      </c>
      <c r="I104" s="21">
        <f t="shared" si="4"/>
        <v>5.00000000000001</v>
      </c>
      <c r="J104" s="25">
        <v>16</v>
      </c>
      <c r="K104" s="22">
        <f t="shared" si="5"/>
        <v>80.0000000000002</v>
      </c>
    </row>
    <row r="105" spans="5:11">
      <c r="E105" s="10"/>
      <c r="F105" s="11" t="s">
        <v>9</v>
      </c>
      <c r="G105" s="15">
        <v>0.25</v>
      </c>
      <c r="H105" s="15">
        <v>0.5</v>
      </c>
      <c r="I105" s="21">
        <f t="shared" si="4"/>
        <v>6</v>
      </c>
      <c r="J105" s="22">
        <v>16</v>
      </c>
      <c r="K105" s="22">
        <f t="shared" si="5"/>
        <v>96</v>
      </c>
    </row>
    <row r="106" spans="5:11">
      <c r="E106" s="29"/>
      <c r="F106" s="30" t="s">
        <v>61</v>
      </c>
      <c r="G106" s="15">
        <v>0.25</v>
      </c>
      <c r="H106" s="15">
        <v>0.625</v>
      </c>
      <c r="I106" s="34">
        <f t="shared" si="4"/>
        <v>9</v>
      </c>
      <c r="J106" s="35">
        <v>17</v>
      </c>
      <c r="K106" s="36">
        <f t="shared" si="5"/>
        <v>153</v>
      </c>
    </row>
    <row r="107" spans="5:11">
      <c r="E107" s="29"/>
      <c r="F107" s="30" t="s">
        <v>35</v>
      </c>
      <c r="G107" s="32"/>
      <c r="H107" s="32"/>
      <c r="I107" s="34">
        <f t="shared" si="4"/>
        <v>0</v>
      </c>
      <c r="J107" s="35">
        <v>15</v>
      </c>
      <c r="K107" s="36">
        <f t="shared" si="5"/>
        <v>0</v>
      </c>
    </row>
    <row r="108" spans="5:11">
      <c r="E108" s="29"/>
      <c r="F108" s="30" t="s">
        <v>33</v>
      </c>
      <c r="G108" s="32">
        <v>0.25</v>
      </c>
      <c r="H108" s="32">
        <v>0.708333333333333</v>
      </c>
      <c r="I108" s="34">
        <f t="shared" si="4"/>
        <v>11</v>
      </c>
      <c r="J108" s="35">
        <v>15</v>
      </c>
      <c r="K108" s="36">
        <f t="shared" si="5"/>
        <v>165</v>
      </c>
    </row>
    <row r="109" spans="5:11">
      <c r="E109" s="7" t="s">
        <v>70</v>
      </c>
      <c r="F109" s="8" t="s">
        <v>8</v>
      </c>
      <c r="G109" s="9"/>
      <c r="H109" s="9"/>
      <c r="I109" s="17">
        <f t="shared" si="4"/>
        <v>0</v>
      </c>
      <c r="J109" s="18">
        <v>16</v>
      </c>
      <c r="K109" s="18">
        <f t="shared" si="5"/>
        <v>0</v>
      </c>
    </row>
    <row r="110" spans="5:11">
      <c r="E110" s="10"/>
      <c r="F110" s="11" t="s">
        <v>10</v>
      </c>
      <c r="G110" s="15"/>
      <c r="H110" s="15"/>
      <c r="I110" s="21">
        <f t="shared" si="4"/>
        <v>0</v>
      </c>
      <c r="J110" s="22">
        <v>16</v>
      </c>
      <c r="K110" s="22">
        <f t="shared" si="5"/>
        <v>0</v>
      </c>
    </row>
    <row r="111" spans="5:11">
      <c r="E111" s="10"/>
      <c r="F111" s="11" t="s">
        <v>12</v>
      </c>
      <c r="G111" s="15">
        <v>0.25</v>
      </c>
      <c r="H111" s="15">
        <v>0.708333333333333</v>
      </c>
      <c r="I111" s="21">
        <f t="shared" si="4"/>
        <v>11</v>
      </c>
      <c r="J111" s="22">
        <v>16</v>
      </c>
      <c r="K111" s="22">
        <f t="shared" si="5"/>
        <v>176</v>
      </c>
    </row>
    <row r="112" spans="5:11">
      <c r="E112" s="10"/>
      <c r="F112" s="11" t="s">
        <v>13</v>
      </c>
      <c r="G112" s="12"/>
      <c r="H112" s="12"/>
      <c r="I112" s="21">
        <f t="shared" si="4"/>
        <v>0</v>
      </c>
      <c r="J112" s="22">
        <v>16</v>
      </c>
      <c r="K112" s="22">
        <f t="shared" si="5"/>
        <v>0</v>
      </c>
    </row>
    <row r="113" spans="5:11">
      <c r="E113" s="13"/>
      <c r="F113" s="14" t="s">
        <v>14</v>
      </c>
      <c r="G113" s="15">
        <v>0.708333333333333</v>
      </c>
      <c r="H113" s="15">
        <v>0.916666666666667</v>
      </c>
      <c r="I113" s="21">
        <f t="shared" si="4"/>
        <v>5.00000000000001</v>
      </c>
      <c r="J113" s="25">
        <v>16</v>
      </c>
      <c r="K113" s="22">
        <f t="shared" si="5"/>
        <v>80.0000000000002</v>
      </c>
    </row>
    <row r="114" spans="5:11">
      <c r="E114" s="10"/>
      <c r="F114" s="11" t="s">
        <v>9</v>
      </c>
      <c r="G114" s="15"/>
      <c r="H114" s="15"/>
      <c r="I114" s="21">
        <f t="shared" si="4"/>
        <v>0</v>
      </c>
      <c r="J114" s="22">
        <v>16</v>
      </c>
      <c r="K114" s="22">
        <f t="shared" si="5"/>
        <v>0</v>
      </c>
    </row>
    <row r="115" spans="5:11">
      <c r="E115" s="29"/>
      <c r="F115" s="30" t="s">
        <v>61</v>
      </c>
      <c r="G115" s="32">
        <v>0.25</v>
      </c>
      <c r="H115" s="32">
        <v>0.395833333333333</v>
      </c>
      <c r="I115" s="34">
        <f t="shared" si="4"/>
        <v>3.49999999999999</v>
      </c>
      <c r="J115" s="35">
        <v>17</v>
      </c>
      <c r="K115" s="36">
        <f t="shared" si="5"/>
        <v>59.4999999999999</v>
      </c>
    </row>
    <row r="116" spans="5:11">
      <c r="E116" s="29"/>
      <c r="F116" s="30" t="s">
        <v>61</v>
      </c>
      <c r="G116" s="32">
        <v>0.666666666666667</v>
      </c>
      <c r="H116" s="32">
        <v>0.791666666666667</v>
      </c>
      <c r="I116" s="34">
        <f t="shared" si="4"/>
        <v>3</v>
      </c>
      <c r="J116" s="35">
        <v>17</v>
      </c>
      <c r="K116" s="36">
        <f t="shared" si="5"/>
        <v>51</v>
      </c>
    </row>
    <row r="117" spans="5:11">
      <c r="E117" s="29"/>
      <c r="F117" s="30" t="s">
        <v>33</v>
      </c>
      <c r="G117" s="32">
        <v>0.5</v>
      </c>
      <c r="H117" s="32">
        <v>0.916666666666667</v>
      </c>
      <c r="I117" s="34">
        <f t="shared" si="4"/>
        <v>10</v>
      </c>
      <c r="J117" s="35">
        <v>15</v>
      </c>
      <c r="K117" s="36">
        <f t="shared" si="5"/>
        <v>150</v>
      </c>
    </row>
    <row r="118" spans="5:11">
      <c r="E118" s="7" t="s">
        <v>71</v>
      </c>
      <c r="F118" s="8" t="s">
        <v>8</v>
      </c>
      <c r="G118" s="9">
        <v>0.708333333333333</v>
      </c>
      <c r="H118" s="9">
        <v>0.916666666666667</v>
      </c>
      <c r="I118" s="17">
        <f t="shared" si="4"/>
        <v>5.00000000000001</v>
      </c>
      <c r="J118" s="18">
        <v>16</v>
      </c>
      <c r="K118" s="18">
        <f t="shared" si="5"/>
        <v>80.0000000000002</v>
      </c>
    </row>
    <row r="119" spans="5:11">
      <c r="E119" s="10"/>
      <c r="F119" s="11" t="s">
        <v>10</v>
      </c>
      <c r="G119" s="12">
        <v>0.25</v>
      </c>
      <c r="H119" s="12">
        <v>0.458333333333333</v>
      </c>
      <c r="I119" s="21">
        <f t="shared" si="4"/>
        <v>4.99999999999999</v>
      </c>
      <c r="J119" s="22">
        <v>16</v>
      </c>
      <c r="K119" s="22">
        <f t="shared" si="5"/>
        <v>79.9999999999999</v>
      </c>
    </row>
    <row r="120" spans="5:11">
      <c r="E120" s="10"/>
      <c r="F120" s="11" t="s">
        <v>12</v>
      </c>
      <c r="G120" s="12">
        <v>0.25</v>
      </c>
      <c r="H120" s="12">
        <v>0.458333333333333</v>
      </c>
      <c r="I120" s="21">
        <f t="shared" si="4"/>
        <v>4.99999999999999</v>
      </c>
      <c r="J120" s="22">
        <v>16</v>
      </c>
      <c r="K120" s="22">
        <f t="shared" si="5"/>
        <v>79.9999999999999</v>
      </c>
    </row>
    <row r="121" spans="5:11">
      <c r="E121" s="10"/>
      <c r="F121" s="11" t="s">
        <v>14</v>
      </c>
      <c r="G121" s="15">
        <v>0.708333333333333</v>
      </c>
      <c r="H121" s="15">
        <v>0.916666666666667</v>
      </c>
      <c r="I121" s="21">
        <f t="shared" si="4"/>
        <v>5.00000000000001</v>
      </c>
      <c r="J121" s="22">
        <v>16</v>
      </c>
      <c r="K121" s="22">
        <f t="shared" si="5"/>
        <v>80.0000000000002</v>
      </c>
    </row>
    <row r="122" spans="5:11">
      <c r="E122" s="10"/>
      <c r="F122" s="11" t="s">
        <v>62</v>
      </c>
      <c r="G122" s="15">
        <v>0.25</v>
      </c>
      <c r="H122" s="15">
        <v>0.5</v>
      </c>
      <c r="I122" s="21">
        <f t="shared" si="4"/>
        <v>6</v>
      </c>
      <c r="J122" s="22">
        <v>15</v>
      </c>
      <c r="K122" s="22">
        <f t="shared" si="5"/>
        <v>90</v>
      </c>
    </row>
    <row r="123" spans="5:11">
      <c r="E123" s="13"/>
      <c r="F123" s="14" t="s">
        <v>57</v>
      </c>
      <c r="G123" s="15">
        <v>0.25</v>
      </c>
      <c r="H123" s="15">
        <v>0.5</v>
      </c>
      <c r="I123" s="21">
        <f t="shared" si="4"/>
        <v>6</v>
      </c>
      <c r="J123" s="25">
        <v>15</v>
      </c>
      <c r="K123" s="22">
        <f t="shared" si="5"/>
        <v>90</v>
      </c>
    </row>
    <row r="124" spans="5:11">
      <c r="E124" s="10"/>
      <c r="F124" s="11" t="s">
        <v>33</v>
      </c>
      <c r="G124" s="15">
        <v>0.708333333333333</v>
      </c>
      <c r="H124" s="15">
        <v>0.916666666666667</v>
      </c>
      <c r="I124" s="21">
        <f t="shared" si="4"/>
        <v>5.00000000000001</v>
      </c>
      <c r="J124" s="22">
        <v>15</v>
      </c>
      <c r="K124" s="22">
        <f t="shared" si="5"/>
        <v>75.0000000000002</v>
      </c>
    </row>
    <row r="125" spans="5:11">
      <c r="E125" s="29"/>
      <c r="F125" s="30" t="s">
        <v>34</v>
      </c>
      <c r="G125" s="32">
        <v>0.5</v>
      </c>
      <c r="H125" s="32">
        <v>0.916666666666667</v>
      </c>
      <c r="I125" s="34">
        <f t="shared" si="4"/>
        <v>10</v>
      </c>
      <c r="J125" s="35">
        <v>15</v>
      </c>
      <c r="K125" s="36">
        <f t="shared" si="5"/>
        <v>150</v>
      </c>
    </row>
    <row r="126" spans="5:11">
      <c r="E126" s="29"/>
      <c r="F126" s="30" t="s">
        <v>35</v>
      </c>
      <c r="G126" s="32">
        <v>0.5</v>
      </c>
      <c r="H126" s="32">
        <v>0.708333333333333</v>
      </c>
      <c r="I126" s="34">
        <f t="shared" ref="I126:I172" si="6">(H126-G126)*24</f>
        <v>4.99999999999999</v>
      </c>
      <c r="J126" s="35">
        <v>15</v>
      </c>
      <c r="K126" s="36">
        <f t="shared" ref="K126:K172" si="7">(J126*I126)</f>
        <v>74.9999999999999</v>
      </c>
    </row>
    <row r="127" spans="5:11">
      <c r="E127" s="29"/>
      <c r="F127" s="30" t="s">
        <v>33</v>
      </c>
      <c r="G127" s="32">
        <v>0.5</v>
      </c>
      <c r="H127" s="32">
        <v>0.708333333333333</v>
      </c>
      <c r="I127" s="34">
        <f t="shared" si="6"/>
        <v>4.99999999999999</v>
      </c>
      <c r="J127" s="35">
        <v>15</v>
      </c>
      <c r="K127" s="36">
        <f t="shared" si="7"/>
        <v>74.9999999999999</v>
      </c>
    </row>
    <row r="128" spans="5:11">
      <c r="E128" s="37"/>
      <c r="F128" s="30" t="s">
        <v>61</v>
      </c>
      <c r="G128" s="15">
        <v>0.25</v>
      </c>
      <c r="H128" s="15">
        <v>0.625</v>
      </c>
      <c r="I128" s="34">
        <f t="shared" si="6"/>
        <v>9</v>
      </c>
      <c r="J128" s="35">
        <v>17</v>
      </c>
      <c r="K128" s="36">
        <f t="shared" si="7"/>
        <v>153</v>
      </c>
    </row>
    <row r="129" spans="5:11">
      <c r="E129" s="38"/>
      <c r="F129" s="39" t="s">
        <v>59</v>
      </c>
      <c r="G129" s="40">
        <v>0.541666666666667</v>
      </c>
      <c r="H129" s="40">
        <v>0.916666666666667</v>
      </c>
      <c r="I129" s="43">
        <f t="shared" si="6"/>
        <v>9</v>
      </c>
      <c r="J129" s="44">
        <v>17</v>
      </c>
      <c r="K129" s="45">
        <f t="shared" si="7"/>
        <v>153</v>
      </c>
    </row>
    <row r="130" spans="5:11">
      <c r="E130" s="7" t="s">
        <v>72</v>
      </c>
      <c r="F130" s="8" t="s">
        <v>8</v>
      </c>
      <c r="G130" s="9">
        <v>0.25</v>
      </c>
      <c r="H130" s="9">
        <v>0.458333333333333</v>
      </c>
      <c r="I130" s="17">
        <f t="shared" si="6"/>
        <v>4.99999999999999</v>
      </c>
      <c r="J130" s="18">
        <v>16</v>
      </c>
      <c r="K130" s="18">
        <f t="shared" si="7"/>
        <v>79.9999999999999</v>
      </c>
    </row>
    <row r="131" s="27" customFormat="1" spans="5:11">
      <c r="E131" s="13"/>
      <c r="F131" s="14" t="s">
        <v>62</v>
      </c>
      <c r="G131" s="15">
        <v>0.25</v>
      </c>
      <c r="H131" s="15">
        <v>0.5</v>
      </c>
      <c r="I131" s="21">
        <f t="shared" si="6"/>
        <v>6</v>
      </c>
      <c r="J131" s="22">
        <v>15</v>
      </c>
      <c r="K131" s="22">
        <f t="shared" si="7"/>
        <v>90</v>
      </c>
    </row>
    <row r="132" spans="5:11">
      <c r="E132" s="10"/>
      <c r="F132" s="11" t="s">
        <v>57</v>
      </c>
      <c r="G132" s="15">
        <v>0.25</v>
      </c>
      <c r="H132" s="15">
        <v>0.5</v>
      </c>
      <c r="I132" s="21">
        <f t="shared" si="6"/>
        <v>6</v>
      </c>
      <c r="J132" s="22">
        <v>15</v>
      </c>
      <c r="K132" s="22">
        <f t="shared" si="7"/>
        <v>90</v>
      </c>
    </row>
    <row r="133" spans="5:11">
      <c r="E133" s="37"/>
      <c r="F133" s="30" t="s">
        <v>58</v>
      </c>
      <c r="G133" s="32">
        <v>0.5</v>
      </c>
      <c r="H133" s="32">
        <v>0.708333333333333</v>
      </c>
      <c r="I133" s="34">
        <f t="shared" si="6"/>
        <v>4.99999999999999</v>
      </c>
      <c r="J133" s="36">
        <v>15</v>
      </c>
      <c r="K133" s="36">
        <f t="shared" si="7"/>
        <v>74.9999999999999</v>
      </c>
    </row>
    <row r="134" spans="5:11">
      <c r="E134" s="10"/>
      <c r="F134" s="11" t="s">
        <v>13</v>
      </c>
      <c r="G134" s="15">
        <v>0.708333333333333</v>
      </c>
      <c r="H134" s="15">
        <v>0.916666666666667</v>
      </c>
      <c r="I134" s="21">
        <f t="shared" si="6"/>
        <v>5.00000000000001</v>
      </c>
      <c r="J134" s="22">
        <v>16</v>
      </c>
      <c r="K134" s="22">
        <f t="shared" si="7"/>
        <v>80.0000000000002</v>
      </c>
    </row>
    <row r="135" spans="5:11">
      <c r="E135" s="13"/>
      <c r="F135" s="14" t="s">
        <v>14</v>
      </c>
      <c r="G135" s="15">
        <v>0.708333333333333</v>
      </c>
      <c r="H135" s="15">
        <v>0.916666666666667</v>
      </c>
      <c r="I135" s="21">
        <f t="shared" si="6"/>
        <v>5.00000000000001</v>
      </c>
      <c r="J135" s="25">
        <v>16</v>
      </c>
      <c r="K135" s="22">
        <f t="shared" si="7"/>
        <v>80.0000000000002</v>
      </c>
    </row>
    <row r="136" spans="5:11">
      <c r="E136" s="10"/>
      <c r="F136" s="11" t="s">
        <v>9</v>
      </c>
      <c r="G136" s="15">
        <v>0.25</v>
      </c>
      <c r="H136" s="15">
        <v>0.5</v>
      </c>
      <c r="I136" s="21">
        <f t="shared" si="6"/>
        <v>6</v>
      </c>
      <c r="J136" s="22">
        <v>16</v>
      </c>
      <c r="K136" s="22">
        <f t="shared" si="7"/>
        <v>96</v>
      </c>
    </row>
    <row r="137" spans="5:11">
      <c r="E137" s="29"/>
      <c r="F137" s="30" t="s">
        <v>34</v>
      </c>
      <c r="G137" s="32"/>
      <c r="H137" s="32"/>
      <c r="I137" s="34">
        <f t="shared" si="6"/>
        <v>0</v>
      </c>
      <c r="J137" s="35">
        <v>15</v>
      </c>
      <c r="K137" s="36">
        <f t="shared" si="7"/>
        <v>0</v>
      </c>
    </row>
    <row r="138" spans="5:11">
      <c r="E138" s="29"/>
      <c r="F138" s="30" t="s">
        <v>35</v>
      </c>
      <c r="G138" s="32">
        <v>0.25</v>
      </c>
      <c r="H138" s="32">
        <v>0.5</v>
      </c>
      <c r="I138" s="34">
        <f t="shared" si="6"/>
        <v>6</v>
      </c>
      <c r="J138" s="35">
        <v>15</v>
      </c>
      <c r="K138" s="36">
        <f t="shared" si="7"/>
        <v>90</v>
      </c>
    </row>
    <row r="139" spans="5:11">
      <c r="E139" s="29"/>
      <c r="F139" s="30" t="s">
        <v>33</v>
      </c>
      <c r="G139" s="32">
        <v>0.5</v>
      </c>
      <c r="H139" s="32">
        <v>0.708333333333333</v>
      </c>
      <c r="I139" s="34">
        <f t="shared" si="6"/>
        <v>4.99999999999999</v>
      </c>
      <c r="J139" s="35">
        <v>15</v>
      </c>
      <c r="K139" s="36">
        <f t="shared" si="7"/>
        <v>74.9999999999999</v>
      </c>
    </row>
    <row r="140" spans="5:11">
      <c r="E140" s="41"/>
      <c r="F140" s="14" t="s">
        <v>12</v>
      </c>
      <c r="G140" s="15">
        <v>0.708333333333333</v>
      </c>
      <c r="H140" s="15">
        <v>0.916666666666667</v>
      </c>
      <c r="I140" s="24">
        <f t="shared" si="6"/>
        <v>5.00000000000001</v>
      </c>
      <c r="J140" s="46">
        <v>16</v>
      </c>
      <c r="K140" s="25">
        <f t="shared" si="7"/>
        <v>80.0000000000002</v>
      </c>
    </row>
    <row r="141" spans="5:11">
      <c r="E141" s="42"/>
      <c r="F141" s="39" t="s">
        <v>59</v>
      </c>
      <c r="G141" s="40">
        <v>0.541666666666667</v>
      </c>
      <c r="H141" s="40">
        <v>0.916666666666667</v>
      </c>
      <c r="I141" s="43">
        <f t="shared" si="6"/>
        <v>9</v>
      </c>
      <c r="J141" s="44">
        <v>17</v>
      </c>
      <c r="K141" s="45">
        <f t="shared" si="7"/>
        <v>153</v>
      </c>
    </row>
    <row r="142" spans="5:11">
      <c r="E142" s="7" t="s">
        <v>73</v>
      </c>
      <c r="F142" s="8" t="s">
        <v>8</v>
      </c>
      <c r="G142" s="9">
        <v>0.25</v>
      </c>
      <c r="H142" s="9">
        <v>0.458333333333333</v>
      </c>
      <c r="I142" s="17">
        <f t="shared" si="6"/>
        <v>4.99999999999999</v>
      </c>
      <c r="J142" s="18">
        <v>16</v>
      </c>
      <c r="K142" s="18">
        <f t="shared" si="7"/>
        <v>79.9999999999999</v>
      </c>
    </row>
    <row r="143" spans="5:11">
      <c r="E143" s="13"/>
      <c r="F143" s="14" t="s">
        <v>62</v>
      </c>
      <c r="G143" s="15">
        <v>0.25</v>
      </c>
      <c r="H143" s="15">
        <v>0.5</v>
      </c>
      <c r="I143" s="21">
        <f t="shared" si="6"/>
        <v>6</v>
      </c>
      <c r="J143" s="22">
        <v>15</v>
      </c>
      <c r="K143" s="22">
        <f t="shared" si="7"/>
        <v>90</v>
      </c>
    </row>
    <row r="144" spans="5:11">
      <c r="E144" s="10"/>
      <c r="F144" s="11" t="s">
        <v>57</v>
      </c>
      <c r="G144" s="15">
        <v>0.25</v>
      </c>
      <c r="H144" s="15">
        <v>0.5</v>
      </c>
      <c r="I144" s="21">
        <f t="shared" si="6"/>
        <v>6</v>
      </c>
      <c r="J144" s="22">
        <v>15</v>
      </c>
      <c r="K144" s="22">
        <f t="shared" si="7"/>
        <v>90</v>
      </c>
    </row>
    <row r="145" spans="5:11">
      <c r="E145" s="37"/>
      <c r="F145" s="30" t="s">
        <v>10</v>
      </c>
      <c r="G145" s="12">
        <v>0.25</v>
      </c>
      <c r="H145" s="12">
        <v>0.458333333333333</v>
      </c>
      <c r="I145" s="34">
        <f t="shared" si="6"/>
        <v>4.99999999999999</v>
      </c>
      <c r="J145" s="36">
        <v>16</v>
      </c>
      <c r="K145" s="36">
        <f t="shared" si="7"/>
        <v>79.9999999999999</v>
      </c>
    </row>
    <row r="146" spans="5:11">
      <c r="E146" s="10"/>
      <c r="F146" s="11" t="s">
        <v>13</v>
      </c>
      <c r="G146" s="15">
        <v>0.708333333333333</v>
      </c>
      <c r="H146" s="15">
        <v>0.916666666666667</v>
      </c>
      <c r="I146" s="21">
        <f t="shared" si="6"/>
        <v>5.00000000000001</v>
      </c>
      <c r="J146" s="22">
        <v>16</v>
      </c>
      <c r="K146" s="22">
        <f t="shared" si="7"/>
        <v>80.0000000000002</v>
      </c>
    </row>
    <row r="147" spans="5:11">
      <c r="E147" s="13"/>
      <c r="F147" s="14" t="s">
        <v>14</v>
      </c>
      <c r="G147" s="15">
        <v>0.708333333333333</v>
      </c>
      <c r="H147" s="15">
        <v>0.916666666666667</v>
      </c>
      <c r="I147" s="21">
        <f t="shared" si="6"/>
        <v>5.00000000000001</v>
      </c>
      <c r="J147" s="25">
        <v>16</v>
      </c>
      <c r="K147" s="22">
        <f t="shared" si="7"/>
        <v>80.0000000000002</v>
      </c>
    </row>
    <row r="148" spans="5:11">
      <c r="E148" s="10"/>
      <c r="F148" s="11" t="s">
        <v>9</v>
      </c>
      <c r="G148" s="32">
        <v>0.5</v>
      </c>
      <c r="H148" s="32">
        <v>0.708333333333333</v>
      </c>
      <c r="I148" s="21">
        <f t="shared" si="6"/>
        <v>4.99999999999999</v>
      </c>
      <c r="J148" s="22">
        <v>16</v>
      </c>
      <c r="K148" s="22">
        <f t="shared" si="7"/>
        <v>79.9999999999999</v>
      </c>
    </row>
    <row r="149" spans="5:11">
      <c r="E149" s="29"/>
      <c r="F149" s="30" t="s">
        <v>34</v>
      </c>
      <c r="G149" s="32">
        <v>0.5</v>
      </c>
      <c r="H149" s="32">
        <v>0.916666666666667</v>
      </c>
      <c r="I149" s="34">
        <f t="shared" si="6"/>
        <v>10</v>
      </c>
      <c r="J149" s="35">
        <v>15</v>
      </c>
      <c r="K149" s="36">
        <f t="shared" si="7"/>
        <v>150</v>
      </c>
    </row>
    <row r="150" spans="5:11">
      <c r="E150" s="29"/>
      <c r="F150" s="30" t="s">
        <v>58</v>
      </c>
      <c r="G150" s="15">
        <v>0.708333333333333</v>
      </c>
      <c r="H150" s="15">
        <v>0.916666666666667</v>
      </c>
      <c r="I150" s="34">
        <f t="shared" si="6"/>
        <v>5.00000000000001</v>
      </c>
      <c r="J150" s="35">
        <v>15</v>
      </c>
      <c r="K150" s="36">
        <f t="shared" si="7"/>
        <v>75.0000000000002</v>
      </c>
    </row>
    <row r="151" spans="5:11">
      <c r="E151" s="29"/>
      <c r="F151" s="30" t="s">
        <v>33</v>
      </c>
      <c r="G151" s="32">
        <v>0.5</v>
      </c>
      <c r="H151" s="32">
        <v>0.708333333333333</v>
      </c>
      <c r="I151" s="34">
        <f t="shared" si="6"/>
        <v>4.99999999999999</v>
      </c>
      <c r="J151" s="35">
        <v>15</v>
      </c>
      <c r="K151" s="36">
        <f t="shared" si="7"/>
        <v>74.9999999999999</v>
      </c>
    </row>
    <row r="152" spans="5:11">
      <c r="E152" s="41"/>
      <c r="F152" s="14" t="s">
        <v>12</v>
      </c>
      <c r="G152" s="12">
        <v>0.25</v>
      </c>
      <c r="H152" s="12">
        <v>0.458333333333333</v>
      </c>
      <c r="I152" s="24">
        <f t="shared" si="6"/>
        <v>4.99999999999999</v>
      </c>
      <c r="J152" s="46">
        <v>16</v>
      </c>
      <c r="K152" s="25">
        <f t="shared" si="7"/>
        <v>79.9999999999999</v>
      </c>
    </row>
    <row r="153" spans="5:11">
      <c r="E153" s="42"/>
      <c r="F153" s="39" t="s">
        <v>61</v>
      </c>
      <c r="G153" s="40">
        <v>0.3125</v>
      </c>
      <c r="H153" s="40">
        <v>0.625</v>
      </c>
      <c r="I153" s="43">
        <f t="shared" si="6"/>
        <v>7.5</v>
      </c>
      <c r="J153" s="44">
        <v>17</v>
      </c>
      <c r="K153" s="45">
        <f t="shared" si="7"/>
        <v>127.5</v>
      </c>
    </row>
    <row r="154" spans="5:11">
      <c r="E154" s="42"/>
      <c r="F154" s="39" t="s">
        <v>59</v>
      </c>
      <c r="G154" s="40">
        <v>0.541666666666667</v>
      </c>
      <c r="H154" s="40">
        <v>0.916666666666667</v>
      </c>
      <c r="I154" s="43">
        <f t="shared" si="6"/>
        <v>9</v>
      </c>
      <c r="J154" s="44">
        <v>17</v>
      </c>
      <c r="K154" s="45">
        <f t="shared" si="7"/>
        <v>153</v>
      </c>
    </row>
    <row r="155" spans="5:11">
      <c r="E155" s="7" t="s">
        <v>74</v>
      </c>
      <c r="F155" s="8" t="s">
        <v>8</v>
      </c>
      <c r="G155" s="9">
        <v>0.25</v>
      </c>
      <c r="H155" s="9">
        <v>0.666666666666667</v>
      </c>
      <c r="I155" s="17">
        <f t="shared" si="6"/>
        <v>10</v>
      </c>
      <c r="J155" s="18">
        <v>16</v>
      </c>
      <c r="K155" s="18">
        <f t="shared" si="7"/>
        <v>160</v>
      </c>
    </row>
    <row r="156" spans="5:11">
      <c r="E156" s="13"/>
      <c r="F156" s="14" t="s">
        <v>62</v>
      </c>
      <c r="G156" s="15">
        <v>0.25</v>
      </c>
      <c r="H156" s="15">
        <v>0.5</v>
      </c>
      <c r="I156" s="21">
        <f t="shared" si="6"/>
        <v>6</v>
      </c>
      <c r="J156" s="22">
        <v>15</v>
      </c>
      <c r="K156" s="22">
        <f t="shared" si="7"/>
        <v>90</v>
      </c>
    </row>
    <row r="157" spans="5:11">
      <c r="E157" s="10"/>
      <c r="F157" s="11" t="s">
        <v>57</v>
      </c>
      <c r="G157" s="15">
        <v>0.25</v>
      </c>
      <c r="H157" s="15">
        <v>0.5</v>
      </c>
      <c r="I157" s="21">
        <f t="shared" si="6"/>
        <v>6</v>
      </c>
      <c r="J157" s="22">
        <v>15</v>
      </c>
      <c r="K157" s="22">
        <f t="shared" si="7"/>
        <v>90</v>
      </c>
    </row>
    <row r="158" spans="5:11">
      <c r="E158" s="37"/>
      <c r="F158" s="30" t="s">
        <v>58</v>
      </c>
      <c r="G158" s="32">
        <v>0.5</v>
      </c>
      <c r="H158" s="32">
        <v>0.708333333333333</v>
      </c>
      <c r="I158" s="34">
        <f t="shared" si="6"/>
        <v>4.99999999999999</v>
      </c>
      <c r="J158" s="36">
        <v>15</v>
      </c>
      <c r="K158" s="36">
        <f t="shared" si="7"/>
        <v>74.9999999999999</v>
      </c>
    </row>
    <row r="159" spans="5:11">
      <c r="E159" s="10"/>
      <c r="F159" s="11" t="s">
        <v>13</v>
      </c>
      <c r="G159" s="12">
        <v>0.5</v>
      </c>
      <c r="H159" s="12">
        <v>0.708333333333333</v>
      </c>
      <c r="I159" s="21">
        <f t="shared" si="6"/>
        <v>4.99999999999999</v>
      </c>
      <c r="J159" s="22">
        <v>16</v>
      </c>
      <c r="K159" s="22">
        <f t="shared" si="7"/>
        <v>79.9999999999999</v>
      </c>
    </row>
    <row r="160" spans="5:11">
      <c r="E160" s="13"/>
      <c r="F160" s="14" t="s">
        <v>14</v>
      </c>
      <c r="G160" s="15">
        <v>0.708333333333333</v>
      </c>
      <c r="H160" s="15">
        <v>0.916666666666667</v>
      </c>
      <c r="I160" s="21">
        <f t="shared" si="6"/>
        <v>5.00000000000001</v>
      </c>
      <c r="J160" s="25">
        <v>16</v>
      </c>
      <c r="K160" s="22">
        <f t="shared" si="7"/>
        <v>80.0000000000002</v>
      </c>
    </row>
    <row r="161" spans="5:11">
      <c r="E161" s="10"/>
      <c r="F161" s="11" t="s">
        <v>33</v>
      </c>
      <c r="G161" s="12">
        <v>0.5</v>
      </c>
      <c r="H161" s="12">
        <v>0.708333333333333</v>
      </c>
      <c r="I161" s="21">
        <f t="shared" si="6"/>
        <v>4.99999999999999</v>
      </c>
      <c r="J161" s="22">
        <v>15</v>
      </c>
      <c r="K161" s="22">
        <f t="shared" si="7"/>
        <v>74.9999999999999</v>
      </c>
    </row>
    <row r="162" spans="5:11">
      <c r="E162" s="29"/>
      <c r="F162" s="30" t="s">
        <v>34</v>
      </c>
      <c r="G162" s="32">
        <v>0.5</v>
      </c>
      <c r="H162" s="32">
        <v>0.708333333333333</v>
      </c>
      <c r="I162" s="34">
        <f t="shared" si="6"/>
        <v>4.99999999999999</v>
      </c>
      <c r="J162" s="35">
        <v>15</v>
      </c>
      <c r="K162" s="36">
        <f t="shared" si="7"/>
        <v>74.9999999999999</v>
      </c>
    </row>
    <row r="163" spans="5:11">
      <c r="E163" s="29"/>
      <c r="F163" s="30" t="s">
        <v>35</v>
      </c>
      <c r="G163" s="32">
        <v>0.25</v>
      </c>
      <c r="H163" s="32">
        <v>0.5</v>
      </c>
      <c r="I163" s="34">
        <f t="shared" si="6"/>
        <v>6</v>
      </c>
      <c r="J163" s="35">
        <v>15</v>
      </c>
      <c r="K163" s="36">
        <f t="shared" si="7"/>
        <v>90</v>
      </c>
    </row>
    <row r="164" spans="5:11">
      <c r="E164" s="29"/>
      <c r="F164" s="30" t="s">
        <v>33</v>
      </c>
      <c r="G164" s="32">
        <v>0.708333333333333</v>
      </c>
      <c r="H164" s="32">
        <v>0.916666666666667</v>
      </c>
      <c r="I164" s="34">
        <f t="shared" si="6"/>
        <v>5.00000000000001</v>
      </c>
      <c r="J164" s="35">
        <v>15</v>
      </c>
      <c r="K164" s="36">
        <f t="shared" si="7"/>
        <v>75.0000000000002</v>
      </c>
    </row>
    <row r="165" spans="5:11">
      <c r="E165" s="41"/>
      <c r="F165" s="30" t="s">
        <v>60</v>
      </c>
      <c r="G165" s="32">
        <v>0.25</v>
      </c>
      <c r="H165" s="32">
        <v>0.458333333333333</v>
      </c>
      <c r="I165" s="34">
        <f t="shared" si="6"/>
        <v>5</v>
      </c>
      <c r="J165" s="35">
        <v>15</v>
      </c>
      <c r="K165" s="36">
        <f t="shared" si="7"/>
        <v>75</v>
      </c>
    </row>
    <row r="166" spans="5:11">
      <c r="E166" s="41"/>
      <c r="F166" s="14" t="s">
        <v>12</v>
      </c>
      <c r="G166" s="12">
        <v>0.25</v>
      </c>
      <c r="H166" s="12">
        <v>0.458333333333333</v>
      </c>
      <c r="I166" s="24">
        <f t="shared" si="6"/>
        <v>4.99999999999999</v>
      </c>
      <c r="J166" s="46">
        <v>16</v>
      </c>
      <c r="K166" s="25">
        <f t="shared" si="7"/>
        <v>79.9999999999999</v>
      </c>
    </row>
    <row r="167" spans="5:11">
      <c r="E167" s="42"/>
      <c r="F167" s="39" t="s">
        <v>59</v>
      </c>
      <c r="G167" s="40">
        <v>0.541666666666667</v>
      </c>
      <c r="H167" s="40">
        <v>0.916666666666667</v>
      </c>
      <c r="I167" s="43">
        <f t="shared" si="6"/>
        <v>9</v>
      </c>
      <c r="J167" s="44">
        <v>17</v>
      </c>
      <c r="K167" s="45">
        <f t="shared" si="7"/>
        <v>153</v>
      </c>
    </row>
    <row r="168" spans="5:11">
      <c r="E168" s="7" t="s">
        <v>75</v>
      </c>
      <c r="F168" s="8" t="s">
        <v>8</v>
      </c>
      <c r="G168" s="9">
        <v>0.708333333333333</v>
      </c>
      <c r="H168" s="9">
        <v>0.916666666666667</v>
      </c>
      <c r="I168" s="17">
        <f t="shared" si="6"/>
        <v>5.00000000000001</v>
      </c>
      <c r="J168" s="18">
        <v>16</v>
      </c>
      <c r="K168" s="18">
        <f t="shared" si="7"/>
        <v>80.0000000000002</v>
      </c>
    </row>
    <row r="169" spans="5:11">
      <c r="E169" s="13"/>
      <c r="F169" s="14" t="s">
        <v>10</v>
      </c>
      <c r="G169" s="12">
        <v>0.25</v>
      </c>
      <c r="H169" s="12">
        <v>0.458333333333333</v>
      </c>
      <c r="I169" s="21">
        <f t="shared" si="6"/>
        <v>4.99999999999999</v>
      </c>
      <c r="J169" s="22">
        <v>15</v>
      </c>
      <c r="K169" s="22">
        <f t="shared" si="7"/>
        <v>74.9999999999999</v>
      </c>
    </row>
    <row r="170" spans="5:11">
      <c r="E170" s="10"/>
      <c r="F170" s="11" t="s">
        <v>57</v>
      </c>
      <c r="G170" s="15"/>
      <c r="H170" s="15"/>
      <c r="I170" s="21">
        <f t="shared" si="6"/>
        <v>0</v>
      </c>
      <c r="J170" s="22">
        <v>15</v>
      </c>
      <c r="K170" s="22">
        <f t="shared" si="7"/>
        <v>0</v>
      </c>
    </row>
    <row r="171" spans="5:11">
      <c r="E171" s="37"/>
      <c r="F171" s="30" t="s">
        <v>58</v>
      </c>
      <c r="G171" s="32"/>
      <c r="H171" s="32"/>
      <c r="I171" s="34">
        <f t="shared" si="6"/>
        <v>0</v>
      </c>
      <c r="J171" s="36">
        <v>15</v>
      </c>
      <c r="K171" s="36">
        <f t="shared" si="7"/>
        <v>0</v>
      </c>
    </row>
    <row r="172" spans="5:11">
      <c r="E172" s="10"/>
      <c r="F172" s="11" t="s">
        <v>13</v>
      </c>
      <c r="G172" s="12">
        <v>0.5</v>
      </c>
      <c r="H172" s="12">
        <v>0.708333333333333</v>
      </c>
      <c r="I172" s="21">
        <f t="shared" si="6"/>
        <v>4.99999999999999</v>
      </c>
      <c r="J172" s="22">
        <v>16</v>
      </c>
      <c r="K172" s="22">
        <f t="shared" si="7"/>
        <v>79.9999999999999</v>
      </c>
    </row>
    <row r="173" spans="5:11">
      <c r="E173" s="13"/>
      <c r="F173" s="14" t="s">
        <v>14</v>
      </c>
      <c r="G173" s="15">
        <v>0.708333333333333</v>
      </c>
      <c r="H173" s="15">
        <v>0.916666666666667</v>
      </c>
      <c r="I173" s="21">
        <f t="shared" ref="I173:I178" si="8">(H173-G173)*24</f>
        <v>5.00000000000001</v>
      </c>
      <c r="J173" s="25">
        <v>16</v>
      </c>
      <c r="K173" s="22">
        <f t="shared" ref="K173:K178" si="9">(J173*I173)</f>
        <v>80.0000000000002</v>
      </c>
    </row>
    <row r="174" spans="5:11">
      <c r="E174" s="10"/>
      <c r="F174" s="11" t="s">
        <v>9</v>
      </c>
      <c r="G174" s="15"/>
      <c r="H174" s="15"/>
      <c r="I174" s="21">
        <f t="shared" si="8"/>
        <v>0</v>
      </c>
      <c r="J174" s="22">
        <v>16</v>
      </c>
      <c r="K174" s="22">
        <f t="shared" si="9"/>
        <v>0</v>
      </c>
    </row>
    <row r="175" spans="5:11">
      <c r="E175" s="29"/>
      <c r="F175" s="30" t="s">
        <v>35</v>
      </c>
      <c r="G175" s="32">
        <v>0.5</v>
      </c>
      <c r="H175" s="32">
        <v>0.708333333333333</v>
      </c>
      <c r="I175" s="34">
        <f t="shared" si="8"/>
        <v>4.99999999999999</v>
      </c>
      <c r="J175" s="35">
        <v>15</v>
      </c>
      <c r="K175" s="36">
        <f t="shared" si="9"/>
        <v>74.9999999999999</v>
      </c>
    </row>
    <row r="176" spans="5:11">
      <c r="E176" s="29"/>
      <c r="F176" s="30" t="s">
        <v>35</v>
      </c>
      <c r="G176" s="32">
        <v>0.25</v>
      </c>
      <c r="H176" s="32">
        <v>0.5</v>
      </c>
      <c r="I176" s="34">
        <f t="shared" si="8"/>
        <v>6</v>
      </c>
      <c r="J176" s="35">
        <v>15</v>
      </c>
      <c r="K176" s="36">
        <f t="shared" si="9"/>
        <v>90</v>
      </c>
    </row>
    <row r="177" spans="5:11">
      <c r="E177" s="29"/>
      <c r="F177" s="30" t="s">
        <v>61</v>
      </c>
      <c r="G177" s="32">
        <v>0.75</v>
      </c>
      <c r="H177" s="32">
        <v>0.958333333333333</v>
      </c>
      <c r="I177" s="34">
        <f t="shared" si="8"/>
        <v>4.99999999999999</v>
      </c>
      <c r="J177" s="35">
        <v>17</v>
      </c>
      <c r="K177" s="36">
        <f t="shared" si="9"/>
        <v>84.9999999999999</v>
      </c>
    </row>
    <row r="178" spans="5:11">
      <c r="E178" s="41"/>
      <c r="F178" s="30" t="s">
        <v>60</v>
      </c>
      <c r="G178" s="32">
        <v>0.25</v>
      </c>
      <c r="H178" s="32">
        <v>0.458333333333333</v>
      </c>
      <c r="I178" s="34">
        <f t="shared" si="8"/>
        <v>5</v>
      </c>
      <c r="J178" s="35">
        <v>15</v>
      </c>
      <c r="K178" s="36">
        <f t="shared" si="9"/>
        <v>75</v>
      </c>
    </row>
    <row r="179" spans="5:11">
      <c r="E179" s="41"/>
      <c r="F179" s="14" t="s">
        <v>12</v>
      </c>
      <c r="G179" s="15">
        <v>0.708333333333333</v>
      </c>
      <c r="H179" s="15">
        <v>0.916666666666667</v>
      </c>
      <c r="I179" s="24">
        <f t="shared" ref="I179:I202" si="10">(H179-G179)*24</f>
        <v>5.00000000000001</v>
      </c>
      <c r="J179" s="46">
        <v>16</v>
      </c>
      <c r="K179" s="25">
        <f t="shared" ref="K179:K202" si="11">(J179*I179)</f>
        <v>80.0000000000002</v>
      </c>
    </row>
    <row r="180" spans="5:11">
      <c r="E180" s="42"/>
      <c r="F180" s="39" t="s">
        <v>59</v>
      </c>
      <c r="G180" s="40">
        <v>0.541666666666667</v>
      </c>
      <c r="H180" s="40">
        <v>0.875</v>
      </c>
      <c r="I180" s="43">
        <f t="shared" si="10"/>
        <v>7.99999999999999</v>
      </c>
      <c r="J180" s="44">
        <v>17</v>
      </c>
      <c r="K180" s="45">
        <f t="shared" si="11"/>
        <v>136</v>
      </c>
    </row>
    <row r="181" spans="5:11">
      <c r="E181" s="7" t="s">
        <v>76</v>
      </c>
      <c r="F181" s="8" t="s">
        <v>8</v>
      </c>
      <c r="G181" s="9">
        <v>0.25</v>
      </c>
      <c r="H181" s="9">
        <v>0.5</v>
      </c>
      <c r="I181" s="17">
        <f t="shared" si="10"/>
        <v>6</v>
      </c>
      <c r="J181" s="18">
        <v>16</v>
      </c>
      <c r="K181" s="18">
        <f t="shared" si="11"/>
        <v>96</v>
      </c>
    </row>
    <row r="182" spans="5:11">
      <c r="E182" s="13"/>
      <c r="F182" s="14" t="s">
        <v>10</v>
      </c>
      <c r="G182" s="15">
        <v>0.25</v>
      </c>
      <c r="H182" s="15">
        <v>0.5</v>
      </c>
      <c r="I182" s="21">
        <f t="shared" si="10"/>
        <v>6</v>
      </c>
      <c r="J182" s="22">
        <v>15</v>
      </c>
      <c r="K182" s="22">
        <f t="shared" si="11"/>
        <v>90</v>
      </c>
    </row>
    <row r="183" spans="5:11">
      <c r="E183" s="10"/>
      <c r="F183" s="11" t="s">
        <v>10</v>
      </c>
      <c r="G183" s="15"/>
      <c r="H183" s="15"/>
      <c r="I183" s="21">
        <f t="shared" si="10"/>
        <v>0</v>
      </c>
      <c r="J183" s="22">
        <v>16</v>
      </c>
      <c r="K183" s="22">
        <f t="shared" si="11"/>
        <v>0</v>
      </c>
    </row>
    <row r="184" spans="5:11">
      <c r="E184" s="37"/>
      <c r="F184" s="30" t="s">
        <v>60</v>
      </c>
      <c r="G184" s="32">
        <v>0.25</v>
      </c>
      <c r="H184" s="32">
        <v>0.458333333333333</v>
      </c>
      <c r="I184" s="34">
        <f t="shared" si="10"/>
        <v>5</v>
      </c>
      <c r="J184" s="36">
        <v>15</v>
      </c>
      <c r="K184" s="36">
        <f t="shared" si="11"/>
        <v>75</v>
      </c>
    </row>
    <row r="185" spans="5:11">
      <c r="E185" s="10"/>
      <c r="F185" s="11" t="s">
        <v>13</v>
      </c>
      <c r="G185" s="15"/>
      <c r="H185" s="15"/>
      <c r="I185" s="21">
        <f t="shared" si="10"/>
        <v>0</v>
      </c>
      <c r="J185" s="22">
        <v>16</v>
      </c>
      <c r="K185" s="22">
        <f t="shared" si="11"/>
        <v>0</v>
      </c>
    </row>
    <row r="186" spans="5:11">
      <c r="E186" s="13"/>
      <c r="F186" s="14" t="s">
        <v>14</v>
      </c>
      <c r="G186" s="15"/>
      <c r="H186" s="15"/>
      <c r="I186" s="21">
        <f t="shared" si="10"/>
        <v>0</v>
      </c>
      <c r="J186" s="25">
        <v>16</v>
      </c>
      <c r="K186" s="22">
        <f t="shared" si="11"/>
        <v>0</v>
      </c>
    </row>
    <row r="187" spans="5:11">
      <c r="E187" s="10"/>
      <c r="F187" s="11" t="s">
        <v>9</v>
      </c>
      <c r="G187" s="15">
        <v>0.25</v>
      </c>
      <c r="H187" s="15">
        <v>0.5</v>
      </c>
      <c r="I187" s="21">
        <f t="shared" si="10"/>
        <v>6</v>
      </c>
      <c r="J187" s="22">
        <v>16</v>
      </c>
      <c r="K187" s="22">
        <f t="shared" si="11"/>
        <v>96</v>
      </c>
    </row>
    <row r="188" spans="5:11">
      <c r="E188" s="29"/>
      <c r="F188" s="30" t="s">
        <v>34</v>
      </c>
      <c r="G188" s="32">
        <v>0.25</v>
      </c>
      <c r="H188" s="32">
        <v>0.5</v>
      </c>
      <c r="I188" s="34">
        <f t="shared" si="10"/>
        <v>6</v>
      </c>
      <c r="J188" s="35">
        <v>15</v>
      </c>
      <c r="K188" s="36">
        <f t="shared" si="11"/>
        <v>90</v>
      </c>
    </row>
    <row r="189" spans="5:11">
      <c r="E189" s="29"/>
      <c r="F189" s="30" t="s">
        <v>35</v>
      </c>
      <c r="G189" s="32">
        <v>0.5</v>
      </c>
      <c r="H189" s="32">
        <v>0.916666666666667</v>
      </c>
      <c r="I189" s="34">
        <f t="shared" si="10"/>
        <v>10</v>
      </c>
      <c r="J189" s="35">
        <v>15</v>
      </c>
      <c r="K189" s="36">
        <f t="shared" si="11"/>
        <v>150</v>
      </c>
    </row>
    <row r="190" spans="5:11">
      <c r="E190" s="29"/>
      <c r="F190" s="30" t="s">
        <v>61</v>
      </c>
      <c r="G190" s="32">
        <v>0.791666666666667</v>
      </c>
      <c r="H190" s="32">
        <v>0.958333333333333</v>
      </c>
      <c r="I190" s="34">
        <f t="shared" si="10"/>
        <v>3.99999999999999</v>
      </c>
      <c r="J190" s="35">
        <v>15</v>
      </c>
      <c r="K190" s="36">
        <f t="shared" si="11"/>
        <v>59.9999999999998</v>
      </c>
    </row>
    <row r="191" spans="5:11">
      <c r="E191" s="41"/>
      <c r="F191" s="14" t="s">
        <v>12</v>
      </c>
      <c r="G191" s="12">
        <v>0.5</v>
      </c>
      <c r="H191" s="12">
        <v>0.916666666666667</v>
      </c>
      <c r="I191" s="24">
        <f t="shared" si="10"/>
        <v>10</v>
      </c>
      <c r="J191" s="46">
        <v>16</v>
      </c>
      <c r="K191" s="25">
        <f t="shared" si="11"/>
        <v>160</v>
      </c>
    </row>
    <row r="192" spans="5:11">
      <c r="E192" s="42"/>
      <c r="F192" s="39" t="s">
        <v>59</v>
      </c>
      <c r="G192" s="40">
        <v>0.541666666666667</v>
      </c>
      <c r="H192" s="40">
        <v>0.916666666666667</v>
      </c>
      <c r="I192" s="43">
        <f t="shared" si="10"/>
        <v>9</v>
      </c>
      <c r="J192" s="44">
        <v>17</v>
      </c>
      <c r="K192" s="45">
        <f t="shared" si="11"/>
        <v>153</v>
      </c>
    </row>
    <row r="193" spans="5:11">
      <c r="E193" s="7" t="s">
        <v>77</v>
      </c>
      <c r="F193" s="8" t="s">
        <v>8</v>
      </c>
      <c r="G193" s="9"/>
      <c r="H193" s="9"/>
      <c r="I193" s="17">
        <f t="shared" si="10"/>
        <v>0</v>
      </c>
      <c r="J193" s="18">
        <v>16</v>
      </c>
      <c r="K193" s="18">
        <f t="shared" si="11"/>
        <v>0</v>
      </c>
    </row>
    <row r="194" spans="5:11">
      <c r="E194" s="13"/>
      <c r="F194" s="14" t="s">
        <v>10</v>
      </c>
      <c r="G194" s="15"/>
      <c r="H194" s="15"/>
      <c r="I194" s="21">
        <f t="shared" si="10"/>
        <v>0</v>
      </c>
      <c r="J194" s="22">
        <v>15</v>
      </c>
      <c r="K194" s="22">
        <f t="shared" si="11"/>
        <v>0</v>
      </c>
    </row>
    <row r="195" spans="5:11">
      <c r="E195" s="10"/>
      <c r="F195" s="11" t="s">
        <v>57</v>
      </c>
      <c r="G195" s="15"/>
      <c r="H195" s="15"/>
      <c r="I195" s="21">
        <f t="shared" si="10"/>
        <v>0</v>
      </c>
      <c r="J195" s="22">
        <v>15</v>
      </c>
      <c r="K195" s="22">
        <f t="shared" si="11"/>
        <v>0</v>
      </c>
    </row>
    <row r="196" spans="5:11">
      <c r="E196" s="37"/>
      <c r="F196" s="30" t="s">
        <v>58</v>
      </c>
      <c r="G196" s="32">
        <v>0.25</v>
      </c>
      <c r="H196" s="32">
        <v>0.5</v>
      </c>
      <c r="I196" s="34">
        <f t="shared" si="10"/>
        <v>6</v>
      </c>
      <c r="J196" s="36">
        <v>15</v>
      </c>
      <c r="K196" s="36">
        <f t="shared" si="11"/>
        <v>90</v>
      </c>
    </row>
    <row r="197" spans="5:11">
      <c r="E197" s="10"/>
      <c r="F197" s="11" t="s">
        <v>13</v>
      </c>
      <c r="G197" s="15"/>
      <c r="H197" s="15"/>
      <c r="I197" s="21">
        <f t="shared" si="10"/>
        <v>0</v>
      </c>
      <c r="J197" s="22">
        <v>16</v>
      </c>
      <c r="K197" s="22">
        <f t="shared" si="11"/>
        <v>0</v>
      </c>
    </row>
    <row r="198" spans="5:11">
      <c r="E198" s="13"/>
      <c r="F198" s="14" t="s">
        <v>14</v>
      </c>
      <c r="G198" s="15">
        <v>0.708333333333333</v>
      </c>
      <c r="H198" s="15">
        <v>0.916666666666667</v>
      </c>
      <c r="I198" s="21">
        <f t="shared" si="10"/>
        <v>5.00000000000001</v>
      </c>
      <c r="J198" s="25">
        <v>16</v>
      </c>
      <c r="K198" s="22">
        <f t="shared" si="11"/>
        <v>80.0000000000002</v>
      </c>
    </row>
    <row r="199" spans="5:11">
      <c r="E199" s="10"/>
      <c r="F199" s="11" t="s">
        <v>9</v>
      </c>
      <c r="G199" s="15">
        <v>0.25</v>
      </c>
      <c r="H199" s="15">
        <v>0.5</v>
      </c>
      <c r="I199" s="21">
        <f t="shared" si="10"/>
        <v>6</v>
      </c>
      <c r="J199" s="22">
        <v>16</v>
      </c>
      <c r="K199" s="22">
        <f t="shared" si="11"/>
        <v>96</v>
      </c>
    </row>
    <row r="200" spans="5:11">
      <c r="E200" s="29"/>
      <c r="F200" s="30" t="s">
        <v>34</v>
      </c>
      <c r="G200" s="32">
        <v>0.25</v>
      </c>
      <c r="H200" s="32">
        <v>0.75</v>
      </c>
      <c r="I200" s="34">
        <f t="shared" si="10"/>
        <v>12</v>
      </c>
      <c r="J200" s="35">
        <v>15</v>
      </c>
      <c r="K200" s="36">
        <f t="shared" si="11"/>
        <v>180</v>
      </c>
    </row>
    <row r="201" spans="5:11">
      <c r="E201" s="29"/>
      <c r="F201" s="30" t="s">
        <v>35</v>
      </c>
      <c r="G201" s="32"/>
      <c r="H201" s="32"/>
      <c r="I201" s="34">
        <f t="shared" si="10"/>
        <v>0</v>
      </c>
      <c r="J201" s="35">
        <v>15</v>
      </c>
      <c r="K201" s="36">
        <f t="shared" si="11"/>
        <v>0</v>
      </c>
    </row>
    <row r="202" spans="5:11">
      <c r="E202" s="29"/>
      <c r="F202" s="30" t="s">
        <v>33</v>
      </c>
      <c r="G202" s="32">
        <v>0.5</v>
      </c>
      <c r="H202" s="32">
        <v>0.708333333333333</v>
      </c>
      <c r="I202" s="34">
        <f t="shared" si="10"/>
        <v>4.99999999999999</v>
      </c>
      <c r="J202" s="35">
        <v>15</v>
      </c>
      <c r="K202" s="36">
        <f t="shared" si="11"/>
        <v>74.9999999999999</v>
      </c>
    </row>
    <row r="203" spans="5:11">
      <c r="E203" s="29"/>
      <c r="F203" s="30" t="s">
        <v>60</v>
      </c>
      <c r="G203" s="32">
        <v>0.25</v>
      </c>
      <c r="H203" s="32">
        <v>0.458333333333333</v>
      </c>
      <c r="I203" s="34">
        <f t="shared" ref="I203:I266" si="12">(H203-G203)*24</f>
        <v>4.99999999999999</v>
      </c>
      <c r="J203" s="35">
        <v>15</v>
      </c>
      <c r="K203" s="36">
        <f t="shared" ref="K203:K266" si="13">(J203*I203)</f>
        <v>74.9999999999999</v>
      </c>
    </row>
    <row r="204" spans="5:11">
      <c r="E204" s="42"/>
      <c r="F204" s="39" t="s">
        <v>59</v>
      </c>
      <c r="G204" s="40">
        <v>0.541666666666667</v>
      </c>
      <c r="H204" s="40">
        <v>0.916666666666667</v>
      </c>
      <c r="I204" s="43">
        <f t="shared" si="12"/>
        <v>9</v>
      </c>
      <c r="J204" s="44">
        <v>17</v>
      </c>
      <c r="K204" s="45">
        <f t="shared" si="13"/>
        <v>153</v>
      </c>
    </row>
    <row r="205" spans="5:11">
      <c r="E205" s="7" t="s">
        <v>78</v>
      </c>
      <c r="F205" s="8" t="s">
        <v>8</v>
      </c>
      <c r="G205" s="9">
        <v>0.708333333333333</v>
      </c>
      <c r="H205" s="9">
        <v>0.916666666666667</v>
      </c>
      <c r="I205" s="17">
        <f t="shared" si="12"/>
        <v>5.00000000000001</v>
      </c>
      <c r="J205" s="18">
        <v>16</v>
      </c>
      <c r="K205" s="18">
        <f t="shared" si="13"/>
        <v>80.0000000000002</v>
      </c>
    </row>
    <row r="206" spans="5:11">
      <c r="E206" s="13"/>
      <c r="F206" s="14" t="s">
        <v>10</v>
      </c>
      <c r="G206" s="15"/>
      <c r="H206" s="15"/>
      <c r="I206" s="21">
        <f t="shared" si="12"/>
        <v>0</v>
      </c>
      <c r="J206" s="22">
        <v>15</v>
      </c>
      <c r="K206" s="22">
        <f t="shared" si="13"/>
        <v>0</v>
      </c>
    </row>
    <row r="207" spans="5:11">
      <c r="E207" s="10"/>
      <c r="F207" s="11" t="s">
        <v>57</v>
      </c>
      <c r="G207" s="15"/>
      <c r="H207" s="15"/>
      <c r="I207" s="21">
        <f t="shared" si="12"/>
        <v>0</v>
      </c>
      <c r="J207" s="22">
        <v>15</v>
      </c>
      <c r="K207" s="22">
        <f t="shared" si="13"/>
        <v>0</v>
      </c>
    </row>
    <row r="208" spans="5:11">
      <c r="E208" s="37"/>
      <c r="F208" s="30" t="s">
        <v>58</v>
      </c>
      <c r="G208" s="32"/>
      <c r="H208" s="32"/>
      <c r="I208" s="34">
        <f t="shared" si="12"/>
        <v>0</v>
      </c>
      <c r="J208" s="36">
        <v>15</v>
      </c>
      <c r="K208" s="36">
        <f t="shared" si="13"/>
        <v>0</v>
      </c>
    </row>
    <row r="209" spans="5:11">
      <c r="E209" s="10"/>
      <c r="F209" s="11" t="s">
        <v>13</v>
      </c>
      <c r="G209" s="15">
        <v>0.708333333333333</v>
      </c>
      <c r="H209" s="15">
        <v>0.916666666666667</v>
      </c>
      <c r="I209" s="21">
        <f t="shared" si="12"/>
        <v>5.00000000000001</v>
      </c>
      <c r="J209" s="22">
        <v>16</v>
      </c>
      <c r="K209" s="22">
        <f t="shared" si="13"/>
        <v>80.0000000000002</v>
      </c>
    </row>
    <row r="210" spans="5:11">
      <c r="E210" s="13"/>
      <c r="F210" s="14" t="s">
        <v>14</v>
      </c>
      <c r="G210" s="15">
        <v>0.708333333333333</v>
      </c>
      <c r="H210" s="15">
        <v>0.916666666666667</v>
      </c>
      <c r="I210" s="21">
        <f t="shared" si="12"/>
        <v>5.00000000000001</v>
      </c>
      <c r="J210" s="25">
        <v>16</v>
      </c>
      <c r="K210" s="22">
        <f t="shared" si="13"/>
        <v>80.0000000000002</v>
      </c>
    </row>
    <row r="211" spans="5:11">
      <c r="E211" s="10"/>
      <c r="F211" s="11" t="s">
        <v>61</v>
      </c>
      <c r="G211" s="15">
        <v>0.666666666666667</v>
      </c>
      <c r="H211" s="15">
        <v>0.833333333333333</v>
      </c>
      <c r="I211" s="21">
        <f t="shared" si="12"/>
        <v>3.99999999999999</v>
      </c>
      <c r="J211" s="22">
        <v>17</v>
      </c>
      <c r="K211" s="22">
        <f t="shared" si="13"/>
        <v>67.9999999999998</v>
      </c>
    </row>
    <row r="212" spans="5:11">
      <c r="E212" s="29"/>
      <c r="F212" s="30" t="s">
        <v>33</v>
      </c>
      <c r="G212" s="32">
        <v>0.5</v>
      </c>
      <c r="H212" s="32">
        <v>0.708333333333333</v>
      </c>
      <c r="I212" s="34">
        <f t="shared" si="12"/>
        <v>4.99999999999999</v>
      </c>
      <c r="J212" s="35">
        <v>15</v>
      </c>
      <c r="K212" s="36">
        <f t="shared" si="13"/>
        <v>74.9999999999999</v>
      </c>
    </row>
    <row r="213" spans="5:11">
      <c r="E213" s="29"/>
      <c r="F213" s="30" t="s">
        <v>35</v>
      </c>
      <c r="G213" s="32">
        <v>0.25</v>
      </c>
      <c r="H213" s="32">
        <v>0.708333333333333</v>
      </c>
      <c r="I213" s="34">
        <f t="shared" si="12"/>
        <v>11</v>
      </c>
      <c r="J213" s="35">
        <v>15</v>
      </c>
      <c r="K213" s="36">
        <f t="shared" si="13"/>
        <v>165</v>
      </c>
    </row>
    <row r="214" spans="5:11">
      <c r="E214" s="29"/>
      <c r="F214" s="30" t="s">
        <v>60</v>
      </c>
      <c r="G214" s="32">
        <v>0.25</v>
      </c>
      <c r="H214" s="32">
        <v>0.458333333333333</v>
      </c>
      <c r="I214" s="34">
        <f t="shared" si="12"/>
        <v>4.99999999999999</v>
      </c>
      <c r="J214" s="35">
        <v>15</v>
      </c>
      <c r="K214" s="36">
        <f t="shared" si="13"/>
        <v>74.9999999999999</v>
      </c>
    </row>
    <row r="215" spans="5:11">
      <c r="E215" s="41"/>
      <c r="F215" s="14" t="s">
        <v>12</v>
      </c>
      <c r="G215" s="15">
        <v>0.25</v>
      </c>
      <c r="H215" s="15">
        <v>0.458333333333333</v>
      </c>
      <c r="I215" s="24">
        <f t="shared" si="12"/>
        <v>4.99999999999999</v>
      </c>
      <c r="J215" s="46">
        <v>16</v>
      </c>
      <c r="K215" s="25">
        <f t="shared" si="13"/>
        <v>79.9999999999999</v>
      </c>
    </row>
    <row r="216" spans="5:11">
      <c r="E216" s="42"/>
      <c r="F216" s="39" t="s">
        <v>59</v>
      </c>
      <c r="G216" s="40">
        <v>0.541666666666667</v>
      </c>
      <c r="H216" s="40">
        <v>0.916666666666667</v>
      </c>
      <c r="I216" s="43">
        <f t="shared" si="12"/>
        <v>9</v>
      </c>
      <c r="J216" s="44">
        <v>17</v>
      </c>
      <c r="K216" s="45">
        <f t="shared" si="13"/>
        <v>153</v>
      </c>
    </row>
    <row r="217" spans="5:11">
      <c r="E217" s="7" t="s">
        <v>79</v>
      </c>
      <c r="F217" s="8" t="s">
        <v>8</v>
      </c>
      <c r="G217" s="9">
        <v>0.708333333333333</v>
      </c>
      <c r="H217" s="9">
        <v>0.916666666666667</v>
      </c>
      <c r="I217" s="17">
        <f t="shared" si="12"/>
        <v>5.00000000000001</v>
      </c>
      <c r="J217" s="18">
        <v>16</v>
      </c>
      <c r="K217" s="18">
        <f t="shared" si="13"/>
        <v>80.0000000000002</v>
      </c>
    </row>
    <row r="218" spans="5:11">
      <c r="E218" s="13"/>
      <c r="F218" s="14" t="s">
        <v>62</v>
      </c>
      <c r="G218" s="15">
        <v>0.25</v>
      </c>
      <c r="H218" s="15">
        <v>0.5</v>
      </c>
      <c r="I218" s="21">
        <f t="shared" si="12"/>
        <v>6</v>
      </c>
      <c r="J218" s="22">
        <v>15</v>
      </c>
      <c r="K218" s="22">
        <f t="shared" si="13"/>
        <v>90</v>
      </c>
    </row>
    <row r="219" spans="5:11">
      <c r="E219" s="10"/>
      <c r="F219" s="11" t="s">
        <v>57</v>
      </c>
      <c r="G219" s="15">
        <v>0.25</v>
      </c>
      <c r="H219" s="15">
        <v>0.5</v>
      </c>
      <c r="I219" s="21">
        <f t="shared" si="12"/>
        <v>6</v>
      </c>
      <c r="J219" s="22">
        <v>15</v>
      </c>
      <c r="K219" s="22">
        <f t="shared" si="13"/>
        <v>90</v>
      </c>
    </row>
    <row r="220" spans="5:11">
      <c r="E220" s="37"/>
      <c r="F220" s="30" t="s">
        <v>58</v>
      </c>
      <c r="G220" s="32"/>
      <c r="H220" s="32"/>
      <c r="I220" s="34">
        <f t="shared" si="12"/>
        <v>0</v>
      </c>
      <c r="J220" s="36">
        <v>15</v>
      </c>
      <c r="K220" s="36">
        <f t="shared" si="13"/>
        <v>0</v>
      </c>
    </row>
    <row r="221" spans="5:11">
      <c r="E221" s="10"/>
      <c r="F221" s="11" t="s">
        <v>13</v>
      </c>
      <c r="G221" s="15">
        <v>0.708333333333333</v>
      </c>
      <c r="H221" s="15">
        <v>0.916666666666667</v>
      </c>
      <c r="I221" s="21">
        <f t="shared" si="12"/>
        <v>5.00000000000001</v>
      </c>
      <c r="J221" s="22">
        <v>16</v>
      </c>
      <c r="K221" s="22">
        <f t="shared" si="13"/>
        <v>80.0000000000002</v>
      </c>
    </row>
    <row r="222" spans="5:11">
      <c r="E222" s="13"/>
      <c r="F222" s="14" t="s">
        <v>14</v>
      </c>
      <c r="G222" s="15"/>
      <c r="H222" s="15"/>
      <c r="I222" s="21">
        <f t="shared" si="12"/>
        <v>0</v>
      </c>
      <c r="J222" s="25">
        <v>16</v>
      </c>
      <c r="K222" s="22">
        <f t="shared" si="13"/>
        <v>0</v>
      </c>
    </row>
    <row r="223" spans="5:11">
      <c r="E223" s="10"/>
      <c r="F223" s="11" t="s">
        <v>9</v>
      </c>
      <c r="G223" s="15"/>
      <c r="H223" s="15"/>
      <c r="I223" s="21">
        <f t="shared" si="12"/>
        <v>0</v>
      </c>
      <c r="J223" s="22">
        <v>16</v>
      </c>
      <c r="K223" s="22">
        <f t="shared" si="13"/>
        <v>0</v>
      </c>
    </row>
    <row r="224" spans="5:11">
      <c r="E224" s="29"/>
      <c r="F224" s="30" t="s">
        <v>34</v>
      </c>
      <c r="G224" s="32"/>
      <c r="H224" s="32"/>
      <c r="I224" s="34">
        <f t="shared" si="12"/>
        <v>0</v>
      </c>
      <c r="J224" s="35">
        <v>15</v>
      </c>
      <c r="K224" s="36">
        <f t="shared" si="13"/>
        <v>0</v>
      </c>
    </row>
    <row r="225" spans="5:11">
      <c r="E225" s="29"/>
      <c r="F225" s="30" t="s">
        <v>35</v>
      </c>
      <c r="G225" s="32">
        <v>0.25</v>
      </c>
      <c r="H225" s="32">
        <v>0.708333333333333</v>
      </c>
      <c r="I225" s="34">
        <f t="shared" si="12"/>
        <v>11</v>
      </c>
      <c r="J225" s="35">
        <v>15</v>
      </c>
      <c r="K225" s="36">
        <f t="shared" si="13"/>
        <v>165</v>
      </c>
    </row>
    <row r="226" spans="5:11">
      <c r="E226" s="29"/>
      <c r="F226" s="30" t="s">
        <v>60</v>
      </c>
      <c r="G226" s="32"/>
      <c r="H226" s="32"/>
      <c r="I226" s="34">
        <f t="shared" si="12"/>
        <v>0</v>
      </c>
      <c r="J226" s="35">
        <v>15</v>
      </c>
      <c r="K226" s="36">
        <f t="shared" si="13"/>
        <v>0</v>
      </c>
    </row>
    <row r="227" spans="5:11">
      <c r="E227" s="41"/>
      <c r="F227" s="14" t="s">
        <v>12</v>
      </c>
      <c r="G227" s="15">
        <v>0.708333333333333</v>
      </c>
      <c r="H227" s="15">
        <v>0.916666666666667</v>
      </c>
      <c r="I227" s="24">
        <f t="shared" si="12"/>
        <v>5.00000000000001</v>
      </c>
      <c r="J227" s="46">
        <v>16</v>
      </c>
      <c r="K227" s="25">
        <f t="shared" si="13"/>
        <v>80.0000000000002</v>
      </c>
    </row>
    <row r="228" spans="5:11">
      <c r="E228" s="42"/>
      <c r="F228" s="39" t="s">
        <v>59</v>
      </c>
      <c r="G228" s="40">
        <v>0.541666666666667</v>
      </c>
      <c r="H228" s="40">
        <v>0.916666666666667</v>
      </c>
      <c r="I228" s="43">
        <f t="shared" si="12"/>
        <v>9</v>
      </c>
      <c r="J228" s="44">
        <v>17</v>
      </c>
      <c r="K228" s="45">
        <f t="shared" si="13"/>
        <v>153</v>
      </c>
    </row>
    <row r="229" spans="5:11">
      <c r="E229" s="7" t="s">
        <v>80</v>
      </c>
      <c r="F229" s="8" t="s">
        <v>8</v>
      </c>
      <c r="G229" s="9">
        <v>0.25</v>
      </c>
      <c r="H229" s="9">
        <v>0.916666666666667</v>
      </c>
      <c r="I229" s="17">
        <f t="shared" si="12"/>
        <v>16</v>
      </c>
      <c r="J229" s="18">
        <v>16</v>
      </c>
      <c r="K229" s="18">
        <f t="shared" si="13"/>
        <v>256</v>
      </c>
    </row>
    <row r="230" spans="5:11">
      <c r="E230" s="13"/>
      <c r="F230" s="14" t="s">
        <v>62</v>
      </c>
      <c r="G230" s="15">
        <v>0.260416666666667</v>
      </c>
      <c r="H230" s="15">
        <v>0.5</v>
      </c>
      <c r="I230" s="21">
        <f t="shared" si="12"/>
        <v>5.74999999999999</v>
      </c>
      <c r="J230" s="22">
        <v>15</v>
      </c>
      <c r="K230" s="22">
        <f t="shared" si="13"/>
        <v>86.2499999999999</v>
      </c>
    </row>
    <row r="231" spans="5:11">
      <c r="E231" s="10"/>
      <c r="F231" s="11" t="s">
        <v>57</v>
      </c>
      <c r="G231" s="15">
        <v>0.260416666666667</v>
      </c>
      <c r="H231" s="15">
        <v>0.5</v>
      </c>
      <c r="I231" s="21">
        <f t="shared" si="12"/>
        <v>5.74999999999999</v>
      </c>
      <c r="J231" s="22">
        <v>15</v>
      </c>
      <c r="K231" s="22">
        <f t="shared" si="13"/>
        <v>86.2499999999999</v>
      </c>
    </row>
    <row r="232" spans="5:11">
      <c r="E232" s="37"/>
      <c r="F232" s="30" t="s">
        <v>58</v>
      </c>
      <c r="G232" s="32"/>
      <c r="H232" s="32"/>
      <c r="I232" s="34">
        <f t="shared" si="12"/>
        <v>0</v>
      </c>
      <c r="J232" s="36">
        <v>15</v>
      </c>
      <c r="K232" s="36">
        <f t="shared" si="13"/>
        <v>0</v>
      </c>
    </row>
    <row r="233" spans="5:11">
      <c r="E233" s="10"/>
      <c r="F233" s="11" t="s">
        <v>13</v>
      </c>
      <c r="G233" s="15"/>
      <c r="H233" s="15"/>
      <c r="I233" s="21">
        <f t="shared" si="12"/>
        <v>0</v>
      </c>
      <c r="J233" s="22">
        <v>16</v>
      </c>
      <c r="K233" s="22">
        <f t="shared" si="13"/>
        <v>0</v>
      </c>
    </row>
    <row r="234" spans="5:11">
      <c r="E234" s="13"/>
      <c r="F234" s="14" t="s">
        <v>14</v>
      </c>
      <c r="G234" s="15">
        <v>0.5</v>
      </c>
      <c r="H234" s="15">
        <v>0.916666666666667</v>
      </c>
      <c r="I234" s="21">
        <f t="shared" si="12"/>
        <v>10</v>
      </c>
      <c r="J234" s="25">
        <v>16</v>
      </c>
      <c r="K234" s="22">
        <f t="shared" si="13"/>
        <v>160</v>
      </c>
    </row>
    <row r="235" spans="5:11">
      <c r="E235" s="10"/>
      <c r="F235" s="11" t="s">
        <v>10</v>
      </c>
      <c r="G235" s="15"/>
      <c r="H235" s="15"/>
      <c r="I235" s="21">
        <f t="shared" si="12"/>
        <v>0</v>
      </c>
      <c r="J235" s="22">
        <v>16</v>
      </c>
      <c r="K235" s="22">
        <f t="shared" si="13"/>
        <v>0</v>
      </c>
    </row>
    <row r="236" spans="5:11">
      <c r="E236" s="29"/>
      <c r="F236" s="30" t="s">
        <v>34</v>
      </c>
      <c r="G236" s="32">
        <v>0.5</v>
      </c>
      <c r="H236" s="32">
        <v>0.916666666666667</v>
      </c>
      <c r="I236" s="34">
        <f t="shared" si="12"/>
        <v>10</v>
      </c>
      <c r="J236" s="35">
        <v>15</v>
      </c>
      <c r="K236" s="36">
        <f t="shared" si="13"/>
        <v>150</v>
      </c>
    </row>
    <row r="237" spans="5:11">
      <c r="E237" s="29"/>
      <c r="F237" s="30" t="s">
        <v>35</v>
      </c>
      <c r="G237" s="32">
        <v>0.25</v>
      </c>
      <c r="H237" s="32">
        <v>0.5</v>
      </c>
      <c r="I237" s="34">
        <f t="shared" si="12"/>
        <v>6</v>
      </c>
      <c r="J237" s="35">
        <v>15</v>
      </c>
      <c r="K237" s="36">
        <f t="shared" si="13"/>
        <v>90</v>
      </c>
    </row>
    <row r="238" spans="5:11">
      <c r="E238" s="29"/>
      <c r="F238" s="30" t="s">
        <v>60</v>
      </c>
      <c r="G238" s="32"/>
      <c r="H238" s="32"/>
      <c r="I238" s="34">
        <f t="shared" si="12"/>
        <v>0</v>
      </c>
      <c r="J238" s="35">
        <v>15</v>
      </c>
      <c r="K238" s="36">
        <f t="shared" si="13"/>
        <v>0</v>
      </c>
    </row>
    <row r="239" spans="5:11">
      <c r="E239" s="41"/>
      <c r="F239" s="14" t="s">
        <v>12</v>
      </c>
      <c r="G239" s="15"/>
      <c r="H239" s="15"/>
      <c r="I239" s="24">
        <f t="shared" si="12"/>
        <v>0</v>
      </c>
      <c r="J239" s="46">
        <v>16</v>
      </c>
      <c r="K239" s="25">
        <f t="shared" si="13"/>
        <v>0</v>
      </c>
    </row>
    <row r="240" spans="5:11">
      <c r="E240" s="42"/>
      <c r="F240" s="39" t="s">
        <v>59</v>
      </c>
      <c r="G240" s="40">
        <v>0.541666666666667</v>
      </c>
      <c r="H240" s="40">
        <v>0.916666666666667</v>
      </c>
      <c r="I240" s="43">
        <f t="shared" si="12"/>
        <v>9</v>
      </c>
      <c r="J240" s="44">
        <v>17</v>
      </c>
      <c r="K240" s="45">
        <f t="shared" si="13"/>
        <v>153</v>
      </c>
    </row>
    <row r="241" spans="5:11">
      <c r="E241" s="7">
        <v>45662</v>
      </c>
      <c r="F241" s="8" t="s">
        <v>8</v>
      </c>
      <c r="G241" s="9">
        <v>0.5</v>
      </c>
      <c r="H241" s="9">
        <v>0.916666666666667</v>
      </c>
      <c r="I241" s="17">
        <f t="shared" si="12"/>
        <v>10</v>
      </c>
      <c r="J241" s="18">
        <v>16</v>
      </c>
      <c r="K241" s="18">
        <f t="shared" si="13"/>
        <v>160</v>
      </c>
    </row>
    <row r="242" spans="5:11">
      <c r="E242" s="13"/>
      <c r="F242" s="14" t="s">
        <v>62</v>
      </c>
      <c r="G242" s="15">
        <v>0.25</v>
      </c>
      <c r="H242" s="15">
        <v>0.458333333333333</v>
      </c>
      <c r="I242" s="21">
        <f t="shared" si="12"/>
        <v>4.99999999999999</v>
      </c>
      <c r="J242" s="22">
        <v>15</v>
      </c>
      <c r="K242" s="22">
        <f t="shared" si="13"/>
        <v>74.9999999999999</v>
      </c>
    </row>
    <row r="243" spans="5:11">
      <c r="E243" s="10"/>
      <c r="F243" s="11" t="s">
        <v>57</v>
      </c>
      <c r="G243" s="15">
        <v>0.25</v>
      </c>
      <c r="H243" s="15">
        <v>0.458333333333333</v>
      </c>
      <c r="I243" s="21">
        <f t="shared" si="12"/>
        <v>4.99999999999999</v>
      </c>
      <c r="J243" s="22">
        <v>15</v>
      </c>
      <c r="K243" s="22">
        <f t="shared" si="13"/>
        <v>74.9999999999999</v>
      </c>
    </row>
    <row r="244" spans="5:11">
      <c r="E244" s="37"/>
      <c r="F244" s="30" t="s">
        <v>58</v>
      </c>
      <c r="G244" s="32"/>
      <c r="H244" s="32"/>
      <c r="I244" s="34">
        <f t="shared" si="12"/>
        <v>0</v>
      </c>
      <c r="J244" s="36">
        <v>15</v>
      </c>
      <c r="K244" s="36">
        <f t="shared" si="13"/>
        <v>0</v>
      </c>
    </row>
    <row r="245" spans="5:11">
      <c r="E245" s="10"/>
      <c r="F245" s="11" t="s">
        <v>13</v>
      </c>
      <c r="G245" s="15">
        <v>0.708333333333333</v>
      </c>
      <c r="H245" s="15">
        <v>0.916666666666667</v>
      </c>
      <c r="I245" s="21">
        <f t="shared" si="12"/>
        <v>5.00000000000001</v>
      </c>
      <c r="J245" s="22">
        <v>16</v>
      </c>
      <c r="K245" s="22">
        <f t="shared" si="13"/>
        <v>80.0000000000002</v>
      </c>
    </row>
    <row r="246" spans="5:11">
      <c r="E246" s="13"/>
      <c r="F246" s="14" t="s">
        <v>14</v>
      </c>
      <c r="G246" s="15"/>
      <c r="H246" s="15"/>
      <c r="I246" s="21">
        <f t="shared" si="12"/>
        <v>0</v>
      </c>
      <c r="J246" s="25">
        <v>16</v>
      </c>
      <c r="K246" s="22">
        <f t="shared" si="13"/>
        <v>0</v>
      </c>
    </row>
    <row r="247" spans="5:11">
      <c r="E247" s="10"/>
      <c r="F247" s="11" t="s">
        <v>10</v>
      </c>
      <c r="G247" s="15">
        <v>0.25</v>
      </c>
      <c r="H247" s="15">
        <v>0.458333333333333</v>
      </c>
      <c r="I247" s="21">
        <f t="shared" si="12"/>
        <v>4.99999999999999</v>
      </c>
      <c r="J247" s="22">
        <v>16</v>
      </c>
      <c r="K247" s="22">
        <f t="shared" si="13"/>
        <v>79.9999999999999</v>
      </c>
    </row>
    <row r="248" spans="5:11">
      <c r="E248" s="29"/>
      <c r="F248" s="30" t="s">
        <v>34</v>
      </c>
      <c r="G248" s="32">
        <v>0.5</v>
      </c>
      <c r="H248" s="32">
        <v>0.916666666666667</v>
      </c>
      <c r="I248" s="34">
        <f t="shared" si="12"/>
        <v>10</v>
      </c>
      <c r="J248" s="35">
        <v>15</v>
      </c>
      <c r="K248" s="36">
        <f t="shared" si="13"/>
        <v>150</v>
      </c>
    </row>
    <row r="249" spans="5:11">
      <c r="E249" s="29"/>
      <c r="F249" s="30" t="s">
        <v>35</v>
      </c>
      <c r="G249" s="32"/>
      <c r="H249" s="32"/>
      <c r="I249" s="34">
        <f t="shared" si="12"/>
        <v>0</v>
      </c>
      <c r="J249" s="35">
        <v>15</v>
      </c>
      <c r="K249" s="36">
        <f t="shared" si="13"/>
        <v>0</v>
      </c>
    </row>
    <row r="250" spans="5:11">
      <c r="E250" s="29"/>
      <c r="F250" s="30" t="s">
        <v>61</v>
      </c>
      <c r="G250" s="32">
        <v>0.708333333333333</v>
      </c>
      <c r="H250" s="32">
        <v>0.916666666666667</v>
      </c>
      <c r="I250" s="34">
        <f t="shared" si="12"/>
        <v>5.00000000000001</v>
      </c>
      <c r="J250" s="35">
        <v>17</v>
      </c>
      <c r="K250" s="36">
        <f t="shared" si="13"/>
        <v>85.0000000000002</v>
      </c>
    </row>
    <row r="251" spans="5:11">
      <c r="E251" s="41"/>
      <c r="F251" s="14" t="s">
        <v>12</v>
      </c>
      <c r="G251" s="15">
        <v>0.25</v>
      </c>
      <c r="H251" s="15">
        <v>0.458333333333333</v>
      </c>
      <c r="I251" s="24">
        <f t="shared" si="12"/>
        <v>4.99999999999999</v>
      </c>
      <c r="J251" s="46">
        <v>16</v>
      </c>
      <c r="K251" s="25">
        <f t="shared" si="13"/>
        <v>79.9999999999999</v>
      </c>
    </row>
    <row r="252" spans="5:11">
      <c r="E252" s="42"/>
      <c r="F252" s="39" t="s">
        <v>59</v>
      </c>
      <c r="G252" s="40">
        <v>0.541666666666667</v>
      </c>
      <c r="H252" s="40">
        <v>0.916666666666667</v>
      </c>
      <c r="I252" s="43">
        <f t="shared" si="12"/>
        <v>9</v>
      </c>
      <c r="J252" s="44">
        <v>17</v>
      </c>
      <c r="K252" s="45">
        <f t="shared" si="13"/>
        <v>153</v>
      </c>
    </row>
    <row r="253" spans="5:11">
      <c r="E253" s="7">
        <v>45693</v>
      </c>
      <c r="F253" s="8" t="s">
        <v>8</v>
      </c>
      <c r="G253" s="9"/>
      <c r="H253" s="9"/>
      <c r="I253" s="17">
        <f t="shared" si="12"/>
        <v>0</v>
      </c>
      <c r="J253" s="18">
        <v>16</v>
      </c>
      <c r="K253" s="18">
        <f t="shared" si="13"/>
        <v>0</v>
      </c>
    </row>
    <row r="254" spans="5:11">
      <c r="E254" s="13"/>
      <c r="F254" s="14" t="s">
        <v>62</v>
      </c>
      <c r="G254" s="15">
        <v>0.25</v>
      </c>
      <c r="H254" s="15">
        <v>0.5</v>
      </c>
      <c r="I254" s="21">
        <f t="shared" si="12"/>
        <v>6</v>
      </c>
      <c r="J254" s="22">
        <v>15</v>
      </c>
      <c r="K254" s="22">
        <f t="shared" si="13"/>
        <v>90</v>
      </c>
    </row>
    <row r="255" spans="5:11">
      <c r="E255" s="10"/>
      <c r="F255" s="11" t="s">
        <v>57</v>
      </c>
      <c r="G255" s="15">
        <v>0.25</v>
      </c>
      <c r="H255" s="15">
        <v>0.5</v>
      </c>
      <c r="I255" s="21">
        <f t="shared" si="12"/>
        <v>6</v>
      </c>
      <c r="J255" s="22">
        <v>15</v>
      </c>
      <c r="K255" s="22">
        <f t="shared" si="13"/>
        <v>90</v>
      </c>
    </row>
    <row r="256" spans="5:11">
      <c r="E256" s="37"/>
      <c r="F256" s="30" t="s">
        <v>58</v>
      </c>
      <c r="G256" s="32"/>
      <c r="H256" s="32"/>
      <c r="I256" s="34">
        <f t="shared" si="12"/>
        <v>0</v>
      </c>
      <c r="J256" s="36">
        <v>15</v>
      </c>
      <c r="K256" s="36">
        <f t="shared" si="13"/>
        <v>0</v>
      </c>
    </row>
    <row r="257" spans="5:11">
      <c r="E257" s="10"/>
      <c r="F257" s="11" t="s">
        <v>13</v>
      </c>
      <c r="G257" s="15">
        <v>0.5</v>
      </c>
      <c r="H257" s="15">
        <v>0.916666666666667</v>
      </c>
      <c r="I257" s="21">
        <f t="shared" si="12"/>
        <v>10</v>
      </c>
      <c r="J257" s="22">
        <v>16</v>
      </c>
      <c r="K257" s="22">
        <f t="shared" si="13"/>
        <v>160</v>
      </c>
    </row>
    <row r="258" spans="5:11">
      <c r="E258" s="13"/>
      <c r="F258" s="14" t="s">
        <v>14</v>
      </c>
      <c r="G258" s="15">
        <v>0.25</v>
      </c>
      <c r="H258" s="15">
        <v>0.708333333333333</v>
      </c>
      <c r="I258" s="21">
        <f t="shared" si="12"/>
        <v>11</v>
      </c>
      <c r="J258" s="25">
        <v>16</v>
      </c>
      <c r="K258" s="22">
        <f t="shared" si="13"/>
        <v>176</v>
      </c>
    </row>
    <row r="259" spans="5:11">
      <c r="E259" s="10"/>
      <c r="F259" s="11" t="s">
        <v>10</v>
      </c>
      <c r="G259" s="15">
        <v>0.5</v>
      </c>
      <c r="H259" s="15">
        <v>0.708333333333333</v>
      </c>
      <c r="I259" s="21">
        <f t="shared" si="12"/>
        <v>4.99999999999999</v>
      </c>
      <c r="J259" s="22">
        <v>16</v>
      </c>
      <c r="K259" s="22">
        <f t="shared" si="13"/>
        <v>79.9999999999999</v>
      </c>
    </row>
    <row r="260" spans="5:11">
      <c r="E260" s="29"/>
      <c r="F260" s="30" t="s">
        <v>34</v>
      </c>
      <c r="G260" s="32"/>
      <c r="H260" s="32"/>
      <c r="I260" s="34">
        <f t="shared" si="12"/>
        <v>0</v>
      </c>
      <c r="J260" s="35">
        <v>15</v>
      </c>
      <c r="K260" s="36">
        <f t="shared" si="13"/>
        <v>0</v>
      </c>
    </row>
    <row r="261" spans="5:11">
      <c r="E261" s="29"/>
      <c r="F261" s="30" t="s">
        <v>35</v>
      </c>
      <c r="G261" s="32"/>
      <c r="H261" s="32"/>
      <c r="I261" s="34">
        <f t="shared" si="12"/>
        <v>0</v>
      </c>
      <c r="J261" s="35">
        <v>15</v>
      </c>
      <c r="K261" s="36">
        <f t="shared" si="13"/>
        <v>0</v>
      </c>
    </row>
    <row r="262" spans="5:11">
      <c r="E262" s="42"/>
      <c r="F262" s="39" t="s">
        <v>61</v>
      </c>
      <c r="G262" s="40">
        <v>0.333333333333333</v>
      </c>
      <c r="H262" s="40">
        <v>0.625</v>
      </c>
      <c r="I262" s="43">
        <f t="shared" si="12"/>
        <v>7.00000000000001</v>
      </c>
      <c r="J262" s="44">
        <v>17</v>
      </c>
      <c r="K262" s="45">
        <f t="shared" si="13"/>
        <v>119</v>
      </c>
    </row>
    <row r="263" spans="5:11">
      <c r="E263" s="41"/>
      <c r="F263" s="14" t="s">
        <v>12</v>
      </c>
      <c r="G263" s="12"/>
      <c r="H263" s="12"/>
      <c r="I263" s="24">
        <f t="shared" si="12"/>
        <v>0</v>
      </c>
      <c r="J263" s="46">
        <v>16</v>
      </c>
      <c r="K263" s="25">
        <f t="shared" si="13"/>
        <v>0</v>
      </c>
    </row>
    <row r="264" spans="5:11">
      <c r="E264" s="42"/>
      <c r="F264" s="39" t="s">
        <v>59</v>
      </c>
      <c r="G264" s="40">
        <v>0.541666666666667</v>
      </c>
      <c r="H264" s="40">
        <v>0.916666666666667</v>
      </c>
      <c r="I264" s="43">
        <f t="shared" si="12"/>
        <v>9</v>
      </c>
      <c r="J264" s="44">
        <v>17</v>
      </c>
      <c r="K264" s="45">
        <f t="shared" si="13"/>
        <v>153</v>
      </c>
    </row>
    <row r="265" spans="5:11">
      <c r="E265" s="47"/>
      <c r="F265" s="48" t="s">
        <v>59</v>
      </c>
      <c r="G265" s="49">
        <v>0.875</v>
      </c>
      <c r="H265" s="49">
        <v>0.958333333333333</v>
      </c>
      <c r="I265" s="51">
        <f t="shared" si="12"/>
        <v>2</v>
      </c>
      <c r="J265" s="52">
        <v>20</v>
      </c>
      <c r="K265" s="53">
        <f t="shared" si="13"/>
        <v>40</v>
      </c>
    </row>
    <row r="266" spans="5:11">
      <c r="E266" s="7">
        <v>45721</v>
      </c>
      <c r="F266" s="8" t="s">
        <v>8</v>
      </c>
      <c r="G266" s="9">
        <v>0.5</v>
      </c>
      <c r="H266" s="9">
        <v>0.916666666666667</v>
      </c>
      <c r="I266" s="17">
        <f t="shared" si="12"/>
        <v>10</v>
      </c>
      <c r="J266" s="18">
        <v>16</v>
      </c>
      <c r="K266" s="18">
        <f t="shared" si="13"/>
        <v>160</v>
      </c>
    </row>
    <row r="267" spans="5:11">
      <c r="E267" s="13"/>
      <c r="F267" s="14" t="s">
        <v>8</v>
      </c>
      <c r="G267" s="15"/>
      <c r="H267" s="15"/>
      <c r="I267" s="24">
        <f t="shared" ref="I267:I273" si="14">(H267-G267)*24</f>
        <v>0</v>
      </c>
      <c r="J267" s="25">
        <v>16</v>
      </c>
      <c r="K267" s="25">
        <f t="shared" ref="K267:K273" si="15">(J267*I267)</f>
        <v>0</v>
      </c>
    </row>
    <row r="268" spans="5:11">
      <c r="E268" s="13"/>
      <c r="F268" s="14" t="s">
        <v>62</v>
      </c>
      <c r="G268" s="15">
        <v>0.25</v>
      </c>
      <c r="H268" s="15">
        <v>0.5</v>
      </c>
      <c r="I268" s="21">
        <f t="shared" si="14"/>
        <v>6</v>
      </c>
      <c r="J268" s="22">
        <v>15</v>
      </c>
      <c r="K268" s="22">
        <f t="shared" si="15"/>
        <v>90</v>
      </c>
    </row>
    <row r="269" spans="5:11">
      <c r="E269" s="10"/>
      <c r="F269" s="11" t="s">
        <v>57</v>
      </c>
      <c r="G269" s="15">
        <v>0.25</v>
      </c>
      <c r="H269" s="15">
        <v>0.5</v>
      </c>
      <c r="I269" s="21">
        <f t="shared" si="14"/>
        <v>6</v>
      </c>
      <c r="J269" s="22">
        <v>15</v>
      </c>
      <c r="K269" s="22">
        <f t="shared" si="15"/>
        <v>90</v>
      </c>
    </row>
    <row r="270" spans="5:11">
      <c r="E270" s="37"/>
      <c r="F270" s="30" t="s">
        <v>58</v>
      </c>
      <c r="G270" s="32"/>
      <c r="H270" s="32"/>
      <c r="I270" s="34">
        <f t="shared" si="14"/>
        <v>0</v>
      </c>
      <c r="J270" s="36">
        <v>15</v>
      </c>
      <c r="K270" s="36">
        <f t="shared" si="15"/>
        <v>0</v>
      </c>
    </row>
    <row r="271" spans="5:11">
      <c r="E271" s="10"/>
      <c r="F271" s="11" t="s">
        <v>13</v>
      </c>
      <c r="G271" s="15"/>
      <c r="H271" s="15"/>
      <c r="I271" s="21">
        <f t="shared" si="14"/>
        <v>0</v>
      </c>
      <c r="J271" s="22">
        <v>16</v>
      </c>
      <c r="K271" s="22">
        <f t="shared" si="15"/>
        <v>0</v>
      </c>
    </row>
    <row r="272" spans="5:11">
      <c r="E272" s="13"/>
      <c r="F272" s="14" t="s">
        <v>14</v>
      </c>
      <c r="G272" s="15">
        <v>0.708333333333333</v>
      </c>
      <c r="H272" s="15">
        <v>0.916666666666667</v>
      </c>
      <c r="I272" s="21">
        <f t="shared" si="14"/>
        <v>5.00000000000001</v>
      </c>
      <c r="J272" s="25">
        <v>16</v>
      </c>
      <c r="K272" s="22">
        <f t="shared" si="15"/>
        <v>80.0000000000002</v>
      </c>
    </row>
    <row r="273" spans="5:11">
      <c r="E273" s="10"/>
      <c r="F273" s="11" t="s">
        <v>9</v>
      </c>
      <c r="G273" s="15"/>
      <c r="H273" s="15"/>
      <c r="I273" s="21">
        <f t="shared" si="14"/>
        <v>0</v>
      </c>
      <c r="J273" s="22">
        <v>16</v>
      </c>
      <c r="K273" s="22">
        <f t="shared" si="15"/>
        <v>0</v>
      </c>
    </row>
    <row r="274" spans="5:11">
      <c r="E274" s="29"/>
      <c r="F274" s="30" t="s">
        <v>34</v>
      </c>
      <c r="G274" s="32">
        <v>0.5</v>
      </c>
      <c r="H274" s="32">
        <v>0.916666666666667</v>
      </c>
      <c r="I274" s="34">
        <f t="shared" ref="I274:I290" si="16">(H274-G274)*24</f>
        <v>10</v>
      </c>
      <c r="J274" s="35">
        <v>15</v>
      </c>
      <c r="K274" s="36">
        <f t="shared" ref="K274:K290" si="17">(J274*I274)</f>
        <v>150</v>
      </c>
    </row>
    <row r="275" spans="5:11">
      <c r="E275" s="42"/>
      <c r="F275" s="39" t="s">
        <v>61</v>
      </c>
      <c r="G275" s="40">
        <v>0.8125</v>
      </c>
      <c r="H275" s="40">
        <v>0.958333333333333</v>
      </c>
      <c r="I275" s="43">
        <f t="shared" si="16"/>
        <v>3.49999999999999</v>
      </c>
      <c r="J275" s="44">
        <v>17</v>
      </c>
      <c r="K275" s="45">
        <f t="shared" si="17"/>
        <v>59.4999999999999</v>
      </c>
    </row>
    <row r="276" spans="5:11">
      <c r="E276" s="29"/>
      <c r="F276" s="30" t="s">
        <v>60</v>
      </c>
      <c r="G276" s="32"/>
      <c r="H276" s="32"/>
      <c r="I276" s="34">
        <f t="shared" si="16"/>
        <v>0</v>
      </c>
      <c r="J276" s="35">
        <v>15</v>
      </c>
      <c r="K276" s="36">
        <f t="shared" si="17"/>
        <v>0</v>
      </c>
    </row>
    <row r="277" spans="5:11">
      <c r="E277" s="41"/>
      <c r="F277" s="14" t="s">
        <v>12</v>
      </c>
      <c r="G277" s="15">
        <v>0.25</v>
      </c>
      <c r="H277" s="15">
        <v>0.5</v>
      </c>
      <c r="I277" s="24">
        <f t="shared" si="16"/>
        <v>6</v>
      </c>
      <c r="J277" s="46">
        <v>16</v>
      </c>
      <c r="K277" s="25">
        <f t="shared" si="17"/>
        <v>96</v>
      </c>
    </row>
    <row r="278" spans="5:11">
      <c r="E278" s="42"/>
      <c r="F278" s="39" t="s">
        <v>59</v>
      </c>
      <c r="G278" s="40">
        <v>0.541666666666667</v>
      </c>
      <c r="H278" s="40">
        <v>0.916666666666667</v>
      </c>
      <c r="I278" s="43">
        <f t="shared" si="16"/>
        <v>9</v>
      </c>
      <c r="J278" s="44">
        <v>17</v>
      </c>
      <c r="K278" s="45">
        <f t="shared" si="17"/>
        <v>153</v>
      </c>
    </row>
    <row r="279" spans="5:11">
      <c r="E279" s="47"/>
      <c r="F279" s="48" t="s">
        <v>59</v>
      </c>
      <c r="G279" s="49">
        <v>0.875</v>
      </c>
      <c r="H279" s="49">
        <v>0.958333333333333</v>
      </c>
      <c r="I279" s="51">
        <f t="shared" si="16"/>
        <v>1.99999999999999</v>
      </c>
      <c r="J279" s="52">
        <v>20</v>
      </c>
      <c r="K279" s="53">
        <f t="shared" si="17"/>
        <v>39.9999999999999</v>
      </c>
    </row>
    <row r="280" spans="5:11">
      <c r="E280" s="7">
        <v>45752</v>
      </c>
      <c r="F280" s="8" t="s">
        <v>8</v>
      </c>
      <c r="G280" s="9"/>
      <c r="H280" s="9"/>
      <c r="I280" s="17">
        <f t="shared" si="16"/>
        <v>0</v>
      </c>
      <c r="J280" s="18">
        <v>16</v>
      </c>
      <c r="K280" s="18">
        <f t="shared" si="17"/>
        <v>0</v>
      </c>
    </row>
    <row r="281" spans="5:11">
      <c r="E281" s="13"/>
      <c r="F281" s="14" t="s">
        <v>62</v>
      </c>
      <c r="G281" s="15">
        <v>0.25</v>
      </c>
      <c r="H281" s="15">
        <v>0.5</v>
      </c>
      <c r="I281" s="21">
        <f t="shared" si="16"/>
        <v>6</v>
      </c>
      <c r="J281" s="22">
        <v>15</v>
      </c>
      <c r="K281" s="22">
        <f t="shared" si="17"/>
        <v>90</v>
      </c>
    </row>
    <row r="282" spans="5:11">
      <c r="E282" s="10"/>
      <c r="F282" s="11" t="s">
        <v>57</v>
      </c>
      <c r="G282" s="15">
        <v>0.25</v>
      </c>
      <c r="H282" s="15">
        <v>0.5</v>
      </c>
      <c r="I282" s="21">
        <f t="shared" si="16"/>
        <v>6</v>
      </c>
      <c r="J282" s="22">
        <v>15</v>
      </c>
      <c r="K282" s="22">
        <f t="shared" si="17"/>
        <v>90</v>
      </c>
    </row>
    <row r="283" spans="5:11">
      <c r="E283" s="37"/>
      <c r="F283" s="30" t="s">
        <v>58</v>
      </c>
      <c r="G283" s="32"/>
      <c r="H283" s="32"/>
      <c r="I283" s="34">
        <f t="shared" si="16"/>
        <v>0</v>
      </c>
      <c r="J283" s="36">
        <v>15</v>
      </c>
      <c r="K283" s="36">
        <f t="shared" si="17"/>
        <v>0</v>
      </c>
    </row>
    <row r="284" spans="5:11">
      <c r="E284" s="10"/>
      <c r="F284" s="11" t="s">
        <v>13</v>
      </c>
      <c r="G284" s="15">
        <v>0.791666666666667</v>
      </c>
      <c r="H284" s="15">
        <v>0.958333333333333</v>
      </c>
      <c r="I284" s="21">
        <f t="shared" si="16"/>
        <v>4</v>
      </c>
      <c r="J284" s="22">
        <v>16</v>
      </c>
      <c r="K284" s="22">
        <f t="shared" si="17"/>
        <v>64</v>
      </c>
    </row>
    <row r="285" spans="5:11">
      <c r="E285" s="13"/>
      <c r="F285" s="14" t="s">
        <v>14</v>
      </c>
      <c r="G285" s="15">
        <v>0.25</v>
      </c>
      <c r="H285" s="15">
        <v>0.708333333333333</v>
      </c>
      <c r="I285" s="21">
        <f t="shared" si="16"/>
        <v>11</v>
      </c>
      <c r="J285" s="25">
        <v>16</v>
      </c>
      <c r="K285" s="22">
        <f t="shared" si="17"/>
        <v>176</v>
      </c>
    </row>
    <row r="286" spans="5:11">
      <c r="E286" s="10"/>
      <c r="F286" s="11" t="s">
        <v>9</v>
      </c>
      <c r="G286" s="15"/>
      <c r="H286" s="15"/>
      <c r="I286" s="21">
        <f t="shared" si="16"/>
        <v>0</v>
      </c>
      <c r="J286" s="22">
        <v>16</v>
      </c>
      <c r="K286" s="22">
        <f t="shared" si="17"/>
        <v>0</v>
      </c>
    </row>
    <row r="287" spans="5:11">
      <c r="E287" s="29"/>
      <c r="F287" s="30" t="s">
        <v>34</v>
      </c>
      <c r="G287" s="32">
        <v>0.583333333333333</v>
      </c>
      <c r="H287" s="32">
        <v>0.708333333333333</v>
      </c>
      <c r="I287" s="34">
        <f t="shared" si="16"/>
        <v>3</v>
      </c>
      <c r="J287" s="35">
        <v>15</v>
      </c>
      <c r="K287" s="36">
        <f t="shared" si="17"/>
        <v>45</v>
      </c>
    </row>
    <row r="288" spans="5:11">
      <c r="E288" s="29"/>
      <c r="F288" s="30" t="s">
        <v>35</v>
      </c>
      <c r="G288" s="32"/>
      <c r="H288" s="32"/>
      <c r="I288" s="34">
        <f t="shared" si="16"/>
        <v>0</v>
      </c>
      <c r="J288" s="35">
        <v>15</v>
      </c>
      <c r="K288" s="36">
        <f t="shared" si="17"/>
        <v>0</v>
      </c>
    </row>
    <row r="289" spans="5:11">
      <c r="E289" s="29"/>
      <c r="F289" s="30" t="s">
        <v>60</v>
      </c>
      <c r="G289" s="32"/>
      <c r="H289" s="32"/>
      <c r="I289" s="34">
        <f t="shared" si="16"/>
        <v>0</v>
      </c>
      <c r="J289" s="35">
        <v>15</v>
      </c>
      <c r="K289" s="36">
        <f t="shared" si="17"/>
        <v>0</v>
      </c>
    </row>
    <row r="290" spans="5:11">
      <c r="E290" s="41"/>
      <c r="F290" s="14" t="s">
        <v>12</v>
      </c>
      <c r="G290" s="15">
        <v>0.5</v>
      </c>
      <c r="H290" s="15">
        <v>0.708333333333333</v>
      </c>
      <c r="I290" s="24">
        <f t="shared" si="16"/>
        <v>4.99999999999999</v>
      </c>
      <c r="J290" s="46">
        <v>16</v>
      </c>
      <c r="K290" s="25">
        <f t="shared" si="17"/>
        <v>79.9999999999999</v>
      </c>
    </row>
    <row r="291" spans="5:11">
      <c r="E291" s="42"/>
      <c r="F291" s="39"/>
      <c r="G291" s="40"/>
      <c r="H291" s="40"/>
      <c r="I291" s="43"/>
      <c r="J291" s="44"/>
      <c r="K291" s="45"/>
    </row>
    <row r="292" spans="5:11">
      <c r="E292" s="7">
        <v>45782</v>
      </c>
      <c r="F292" s="8" t="s">
        <v>8</v>
      </c>
      <c r="G292" s="9">
        <v>0.708333333333333</v>
      </c>
      <c r="H292" s="9">
        <v>0.916666666666667</v>
      </c>
      <c r="I292" s="17">
        <f t="shared" ref="I292:I298" si="18">(H292-G292)*24</f>
        <v>5.00000000000001</v>
      </c>
      <c r="J292" s="18">
        <v>16</v>
      </c>
      <c r="K292" s="18">
        <f t="shared" ref="K292:K298" si="19">(J292*I292)</f>
        <v>80.0000000000002</v>
      </c>
    </row>
    <row r="293" spans="5:11">
      <c r="E293" s="13"/>
      <c r="F293" s="14" t="s">
        <v>62</v>
      </c>
      <c r="G293" s="15">
        <v>0.25</v>
      </c>
      <c r="H293" s="15">
        <v>0.5</v>
      </c>
      <c r="I293" s="21">
        <f t="shared" si="18"/>
        <v>6</v>
      </c>
      <c r="J293" s="22">
        <v>15</v>
      </c>
      <c r="K293" s="22">
        <f t="shared" si="19"/>
        <v>90</v>
      </c>
    </row>
    <row r="294" spans="5:11">
      <c r="E294" s="10"/>
      <c r="F294" s="11" t="s">
        <v>57</v>
      </c>
      <c r="G294" s="15">
        <v>0.25</v>
      </c>
      <c r="H294" s="15">
        <v>0.5</v>
      </c>
      <c r="I294" s="21">
        <f t="shared" si="18"/>
        <v>6</v>
      </c>
      <c r="J294" s="22">
        <v>15</v>
      </c>
      <c r="K294" s="22">
        <f t="shared" si="19"/>
        <v>90</v>
      </c>
    </row>
    <row r="295" spans="5:11">
      <c r="E295" s="37"/>
      <c r="F295" s="30" t="s">
        <v>58</v>
      </c>
      <c r="G295" s="32">
        <v>0.708333333333333</v>
      </c>
      <c r="H295" s="32">
        <v>0.916666666666667</v>
      </c>
      <c r="I295" s="34">
        <f t="shared" si="18"/>
        <v>5.00000000000001</v>
      </c>
      <c r="J295" s="36">
        <v>15</v>
      </c>
      <c r="K295" s="36">
        <f t="shared" si="19"/>
        <v>75.0000000000002</v>
      </c>
    </row>
    <row r="296" spans="5:11">
      <c r="E296" s="10"/>
      <c r="F296" s="11" t="s">
        <v>13</v>
      </c>
      <c r="G296" s="15">
        <v>0.708333333333333</v>
      </c>
      <c r="H296" s="15">
        <v>0.916666666666667</v>
      </c>
      <c r="I296" s="21">
        <f t="shared" si="18"/>
        <v>5.00000000000001</v>
      </c>
      <c r="J296" s="22">
        <v>16</v>
      </c>
      <c r="K296" s="22">
        <f t="shared" si="19"/>
        <v>80.0000000000002</v>
      </c>
    </row>
    <row r="297" spans="5:11">
      <c r="E297" s="13"/>
      <c r="F297" s="14" t="s">
        <v>14</v>
      </c>
      <c r="G297" s="15">
        <v>0.5</v>
      </c>
      <c r="H297" s="15">
        <v>0.708333333333333</v>
      </c>
      <c r="I297" s="21">
        <f t="shared" si="18"/>
        <v>4.99999999999999</v>
      </c>
      <c r="J297" s="25">
        <v>16</v>
      </c>
      <c r="K297" s="22">
        <f t="shared" si="19"/>
        <v>79.9999999999999</v>
      </c>
    </row>
    <row r="298" spans="5:11">
      <c r="E298" s="10"/>
      <c r="F298" s="11" t="s">
        <v>10</v>
      </c>
      <c r="G298" s="15"/>
      <c r="H298" s="15"/>
      <c r="I298" s="21">
        <f t="shared" si="18"/>
        <v>0</v>
      </c>
      <c r="J298" s="22">
        <v>16</v>
      </c>
      <c r="K298" s="22">
        <f t="shared" si="19"/>
        <v>0</v>
      </c>
    </row>
    <row r="299" spans="5:11">
      <c r="E299" s="29"/>
      <c r="F299" s="30" t="s">
        <v>34</v>
      </c>
      <c r="G299" s="32">
        <v>0.5</v>
      </c>
      <c r="H299" s="32">
        <v>0.708333333333333</v>
      </c>
      <c r="I299" s="34">
        <f t="shared" ref="I299:I311" si="20">(H299-G299)*24</f>
        <v>4.99999999999999</v>
      </c>
      <c r="J299" s="35">
        <v>15</v>
      </c>
      <c r="K299" s="36">
        <f t="shared" ref="K299:K311" si="21">(J299*I299)</f>
        <v>74.9999999999999</v>
      </c>
    </row>
    <row r="300" spans="5:11">
      <c r="E300" s="29"/>
      <c r="F300" s="30" t="s">
        <v>58</v>
      </c>
      <c r="G300" s="32">
        <v>0.708333333333333</v>
      </c>
      <c r="H300" s="32">
        <v>0.916666666666667</v>
      </c>
      <c r="I300" s="34">
        <f t="shared" si="20"/>
        <v>5.00000000000001</v>
      </c>
      <c r="J300" s="35">
        <v>15</v>
      </c>
      <c r="K300" s="36">
        <f t="shared" si="21"/>
        <v>75.0000000000002</v>
      </c>
    </row>
    <row r="301" spans="5:11">
      <c r="E301" s="29"/>
      <c r="F301" s="30" t="s">
        <v>61</v>
      </c>
      <c r="G301" s="32">
        <v>0.791666666666667</v>
      </c>
      <c r="H301" s="32">
        <v>0.958333333333333</v>
      </c>
      <c r="I301" s="34">
        <f t="shared" si="20"/>
        <v>3.99999999999999</v>
      </c>
      <c r="J301" s="35">
        <v>17</v>
      </c>
      <c r="K301" s="36">
        <f t="shared" si="21"/>
        <v>67.9999999999998</v>
      </c>
    </row>
    <row r="302" spans="5:11">
      <c r="E302" s="41"/>
      <c r="F302" s="14" t="s">
        <v>12</v>
      </c>
      <c r="G302" s="15">
        <v>0.25</v>
      </c>
      <c r="H302" s="15">
        <v>0.458333333333333</v>
      </c>
      <c r="I302" s="24">
        <f t="shared" si="20"/>
        <v>4.99999999999999</v>
      </c>
      <c r="J302" s="46">
        <v>16</v>
      </c>
      <c r="K302" s="25">
        <f t="shared" si="21"/>
        <v>79.9999999999999</v>
      </c>
    </row>
    <row r="303" spans="5:11">
      <c r="E303" s="42"/>
      <c r="F303" s="39" t="s">
        <v>59</v>
      </c>
      <c r="G303" s="40">
        <v>0.541666666666667</v>
      </c>
      <c r="H303" s="40">
        <v>0.916666666666667</v>
      </c>
      <c r="I303" s="43">
        <f t="shared" si="20"/>
        <v>9</v>
      </c>
      <c r="J303" s="44">
        <v>17</v>
      </c>
      <c r="K303" s="45">
        <f t="shared" si="21"/>
        <v>153</v>
      </c>
    </row>
    <row r="304" spans="5:11">
      <c r="E304" s="47"/>
      <c r="F304" s="48" t="s">
        <v>59</v>
      </c>
      <c r="G304" s="49">
        <v>0.875</v>
      </c>
      <c r="H304" s="49">
        <v>0.958333333333333</v>
      </c>
      <c r="I304" s="51">
        <f t="shared" si="20"/>
        <v>2</v>
      </c>
      <c r="J304" s="52">
        <v>20</v>
      </c>
      <c r="K304" s="53">
        <f t="shared" si="21"/>
        <v>40</v>
      </c>
    </row>
    <row r="305" spans="4:11">
      <c r="D305" s="50" t="s">
        <v>81</v>
      </c>
      <c r="E305" s="7">
        <v>45813</v>
      </c>
      <c r="F305" s="8" t="s">
        <v>8</v>
      </c>
      <c r="G305" s="9"/>
      <c r="H305" s="9"/>
      <c r="I305" s="17">
        <f t="shared" si="20"/>
        <v>0</v>
      </c>
      <c r="J305" s="18">
        <v>16</v>
      </c>
      <c r="K305" s="18">
        <f t="shared" si="21"/>
        <v>0</v>
      </c>
    </row>
    <row r="306" spans="5:11">
      <c r="E306" s="13"/>
      <c r="F306" s="14" t="s">
        <v>62</v>
      </c>
      <c r="G306" s="15"/>
      <c r="H306" s="15"/>
      <c r="I306" s="21">
        <f t="shared" si="20"/>
        <v>0</v>
      </c>
      <c r="J306" s="22">
        <v>15</v>
      </c>
      <c r="K306" s="22">
        <f t="shared" si="21"/>
        <v>0</v>
      </c>
    </row>
    <row r="307" spans="5:11">
      <c r="E307" s="10"/>
      <c r="F307" s="11" t="s">
        <v>57</v>
      </c>
      <c r="G307" s="15">
        <v>0.25</v>
      </c>
      <c r="H307" s="15">
        <v>0.5</v>
      </c>
      <c r="I307" s="21">
        <f t="shared" si="20"/>
        <v>6</v>
      </c>
      <c r="J307" s="22">
        <v>15</v>
      </c>
      <c r="K307" s="22">
        <f t="shared" si="21"/>
        <v>90</v>
      </c>
    </row>
    <row r="308" spans="5:11">
      <c r="E308" s="37"/>
      <c r="F308" s="30" t="s">
        <v>58</v>
      </c>
      <c r="G308" s="32"/>
      <c r="H308" s="32"/>
      <c r="I308" s="34">
        <f t="shared" si="20"/>
        <v>0</v>
      </c>
      <c r="J308" s="36">
        <v>15</v>
      </c>
      <c r="K308" s="36">
        <f t="shared" si="21"/>
        <v>0</v>
      </c>
    </row>
    <row r="309" spans="5:11">
      <c r="E309" s="10"/>
      <c r="F309" s="11" t="s">
        <v>13</v>
      </c>
      <c r="G309" s="15">
        <v>0.708333333333333</v>
      </c>
      <c r="H309" s="15">
        <v>0.916666666666667</v>
      </c>
      <c r="I309" s="21">
        <f t="shared" si="20"/>
        <v>5.00000000000001</v>
      </c>
      <c r="J309" s="22">
        <v>16</v>
      </c>
      <c r="K309" s="22">
        <f t="shared" si="21"/>
        <v>80.0000000000002</v>
      </c>
    </row>
    <row r="310" spans="5:11">
      <c r="E310" s="13"/>
      <c r="F310" s="14" t="s">
        <v>14</v>
      </c>
      <c r="G310" s="15">
        <v>0.708333333333333</v>
      </c>
      <c r="H310" s="15">
        <v>0.916666666666667</v>
      </c>
      <c r="I310" s="21">
        <f t="shared" si="20"/>
        <v>5.00000000000001</v>
      </c>
      <c r="J310" s="25">
        <v>16</v>
      </c>
      <c r="K310" s="22">
        <f t="shared" si="21"/>
        <v>80.0000000000002</v>
      </c>
    </row>
    <row r="311" spans="5:11">
      <c r="E311" s="10"/>
      <c r="F311" s="11" t="s">
        <v>9</v>
      </c>
      <c r="G311" s="15"/>
      <c r="H311" s="15"/>
      <c r="I311" s="21">
        <f t="shared" si="20"/>
        <v>0</v>
      </c>
      <c r="J311" s="22">
        <v>16</v>
      </c>
      <c r="K311" s="22">
        <f t="shared" si="21"/>
        <v>0</v>
      </c>
    </row>
    <row r="312" spans="5:11">
      <c r="E312" s="29"/>
      <c r="F312" s="30" t="s">
        <v>34</v>
      </c>
      <c r="G312" s="32"/>
      <c r="H312" s="32"/>
      <c r="I312" s="34">
        <f t="shared" ref="I312:I317" si="22">(H312-G312)*24</f>
        <v>0</v>
      </c>
      <c r="J312" s="35">
        <v>15</v>
      </c>
      <c r="K312" s="36">
        <f t="shared" ref="K312:K317" si="23">(J312*I312)</f>
        <v>0</v>
      </c>
    </row>
    <row r="313" spans="5:11">
      <c r="E313" s="29"/>
      <c r="F313" s="30" t="s">
        <v>61</v>
      </c>
      <c r="G313" s="32">
        <v>0.291666666666667</v>
      </c>
      <c r="H313" s="32">
        <v>0.458333333333333</v>
      </c>
      <c r="I313" s="34">
        <f t="shared" si="22"/>
        <v>4</v>
      </c>
      <c r="J313" s="35">
        <v>17</v>
      </c>
      <c r="K313" s="36">
        <f t="shared" si="23"/>
        <v>68</v>
      </c>
    </row>
    <row r="314" spans="5:11">
      <c r="E314" s="29"/>
      <c r="F314" s="30" t="s">
        <v>60</v>
      </c>
      <c r="G314" s="32">
        <v>0.25</v>
      </c>
      <c r="H314" s="32">
        <v>0.5</v>
      </c>
      <c r="I314" s="34">
        <f t="shared" si="22"/>
        <v>6</v>
      </c>
      <c r="J314" s="35">
        <v>15</v>
      </c>
      <c r="K314" s="36">
        <f t="shared" si="23"/>
        <v>90</v>
      </c>
    </row>
    <row r="315" spans="5:11">
      <c r="E315" s="41"/>
      <c r="F315" s="14" t="s">
        <v>12</v>
      </c>
      <c r="G315" s="15">
        <v>0.708333333333333</v>
      </c>
      <c r="H315" s="15">
        <v>0.916666666666667</v>
      </c>
      <c r="I315" s="24">
        <f t="shared" si="22"/>
        <v>5.00000000000001</v>
      </c>
      <c r="J315" s="46">
        <v>16</v>
      </c>
      <c r="K315" s="25">
        <f t="shared" si="23"/>
        <v>80.0000000000002</v>
      </c>
    </row>
    <row r="316" spans="5:11">
      <c r="E316" s="42"/>
      <c r="F316" s="39" t="s">
        <v>59</v>
      </c>
      <c r="G316" s="40">
        <v>0.541666666666667</v>
      </c>
      <c r="H316" s="40">
        <v>0.916666666666667</v>
      </c>
      <c r="I316" s="43">
        <f t="shared" si="22"/>
        <v>9</v>
      </c>
      <c r="J316" s="44">
        <v>17</v>
      </c>
      <c r="K316" s="45">
        <f t="shared" si="23"/>
        <v>153</v>
      </c>
    </row>
    <row r="317" spans="5:11">
      <c r="E317" s="47"/>
      <c r="F317" s="48" t="s">
        <v>59</v>
      </c>
      <c r="G317" s="49">
        <v>0.875</v>
      </c>
      <c r="H317" s="49">
        <v>0.958333333333333</v>
      </c>
      <c r="I317" s="51">
        <f t="shared" si="22"/>
        <v>1.99999999999999</v>
      </c>
      <c r="J317" s="52">
        <v>20</v>
      </c>
      <c r="K317" s="53">
        <f t="shared" si="23"/>
        <v>39.9999999999999</v>
      </c>
    </row>
    <row r="318" spans="5:11">
      <c r="E318" s="7">
        <v>45843</v>
      </c>
      <c r="F318" s="8" t="s">
        <v>8</v>
      </c>
      <c r="G318" s="9"/>
      <c r="H318" s="9"/>
      <c r="I318" s="17">
        <f t="shared" ref="I318:I336" si="24">(H318-G318)*24</f>
        <v>0</v>
      </c>
      <c r="J318" s="18">
        <v>16</v>
      </c>
      <c r="K318" s="18">
        <f t="shared" ref="K318:K336" si="25">(J318*I318)</f>
        <v>0</v>
      </c>
    </row>
    <row r="319" spans="5:11">
      <c r="E319" s="13"/>
      <c r="F319" s="14" t="s">
        <v>62</v>
      </c>
      <c r="G319" s="15">
        <v>0.25</v>
      </c>
      <c r="H319" s="15">
        <v>0.5</v>
      </c>
      <c r="I319" s="21">
        <f t="shared" si="24"/>
        <v>6</v>
      </c>
      <c r="J319" s="22">
        <v>15</v>
      </c>
      <c r="K319" s="22">
        <f t="shared" si="25"/>
        <v>90</v>
      </c>
    </row>
    <row r="320" spans="5:11">
      <c r="E320" s="10"/>
      <c r="F320" s="11" t="s">
        <v>57</v>
      </c>
      <c r="G320" s="15">
        <v>0.25</v>
      </c>
      <c r="H320" s="15">
        <v>0.5</v>
      </c>
      <c r="I320" s="21">
        <f t="shared" si="24"/>
        <v>6</v>
      </c>
      <c r="J320" s="22">
        <v>15</v>
      </c>
      <c r="K320" s="22">
        <f t="shared" si="25"/>
        <v>90</v>
      </c>
    </row>
    <row r="321" spans="5:11">
      <c r="E321" s="37"/>
      <c r="F321" s="30" t="s">
        <v>58</v>
      </c>
      <c r="G321" s="32">
        <v>0.708333333333333</v>
      </c>
      <c r="H321" s="32">
        <v>0.916666666666667</v>
      </c>
      <c r="I321" s="34">
        <f t="shared" si="24"/>
        <v>5.00000000000001</v>
      </c>
      <c r="J321" s="36">
        <v>15</v>
      </c>
      <c r="K321" s="36">
        <f t="shared" si="25"/>
        <v>75.0000000000002</v>
      </c>
    </row>
    <row r="322" spans="5:11">
      <c r="E322" s="10"/>
      <c r="F322" s="11" t="s">
        <v>13</v>
      </c>
      <c r="G322" s="15">
        <v>0.708333333333333</v>
      </c>
      <c r="H322" s="15">
        <v>0.916666666666667</v>
      </c>
      <c r="I322" s="21">
        <f t="shared" si="24"/>
        <v>5.00000000000001</v>
      </c>
      <c r="J322" s="22">
        <v>16</v>
      </c>
      <c r="K322" s="22">
        <f t="shared" si="25"/>
        <v>80.0000000000002</v>
      </c>
    </row>
    <row r="323" spans="5:11">
      <c r="E323" s="13"/>
      <c r="F323" s="14" t="s">
        <v>14</v>
      </c>
      <c r="G323" s="15">
        <v>0.708333333333333</v>
      </c>
      <c r="H323" s="15">
        <v>0.916666666666667</v>
      </c>
      <c r="I323" s="21">
        <f t="shared" si="24"/>
        <v>5.00000000000001</v>
      </c>
      <c r="J323" s="25">
        <v>16</v>
      </c>
      <c r="K323" s="22">
        <f t="shared" si="25"/>
        <v>80.0000000000002</v>
      </c>
    </row>
    <row r="324" spans="5:11">
      <c r="E324" s="10"/>
      <c r="F324" s="11" t="s">
        <v>9</v>
      </c>
      <c r="G324" s="15">
        <v>0.5</v>
      </c>
      <c r="H324" s="15">
        <v>0.708333333333333</v>
      </c>
      <c r="I324" s="21">
        <f t="shared" si="24"/>
        <v>4.99999999999999</v>
      </c>
      <c r="J324" s="22">
        <v>16</v>
      </c>
      <c r="K324" s="22">
        <f t="shared" si="25"/>
        <v>79.9999999999999</v>
      </c>
    </row>
    <row r="325" spans="5:11">
      <c r="E325" s="29"/>
      <c r="F325" s="30" t="s">
        <v>33</v>
      </c>
      <c r="G325" s="32">
        <v>0.5</v>
      </c>
      <c r="H325" s="32">
        <v>0.708333333333333</v>
      </c>
      <c r="I325" s="34">
        <f t="shared" si="24"/>
        <v>4.99999999999999</v>
      </c>
      <c r="J325" s="35">
        <v>15</v>
      </c>
      <c r="K325" s="36">
        <f t="shared" si="25"/>
        <v>74.9999999999999</v>
      </c>
    </row>
    <row r="326" spans="5:11">
      <c r="E326" s="29"/>
      <c r="F326" s="30" t="s">
        <v>35</v>
      </c>
      <c r="G326" s="32">
        <v>0.25</v>
      </c>
      <c r="H326" s="32">
        <v>0.5</v>
      </c>
      <c r="I326" s="34">
        <f t="shared" si="24"/>
        <v>6</v>
      </c>
      <c r="J326" s="35">
        <v>15</v>
      </c>
      <c r="K326" s="36">
        <f t="shared" si="25"/>
        <v>90</v>
      </c>
    </row>
    <row r="327" spans="5:11">
      <c r="E327" s="29"/>
      <c r="F327" s="30" t="s">
        <v>60</v>
      </c>
      <c r="G327" s="32">
        <v>0.25</v>
      </c>
      <c r="H327" s="32">
        <v>0.5</v>
      </c>
      <c r="I327" s="34">
        <f t="shared" si="24"/>
        <v>6</v>
      </c>
      <c r="J327" s="35">
        <v>15</v>
      </c>
      <c r="K327" s="36">
        <f t="shared" si="25"/>
        <v>90</v>
      </c>
    </row>
    <row r="328" spans="5:11">
      <c r="E328" s="41"/>
      <c r="F328" s="14" t="s">
        <v>61</v>
      </c>
      <c r="G328" s="12">
        <v>0.291666666666667</v>
      </c>
      <c r="H328" s="12">
        <v>0.458333333333333</v>
      </c>
      <c r="I328" s="24">
        <f t="shared" si="24"/>
        <v>4</v>
      </c>
      <c r="J328" s="46">
        <v>17</v>
      </c>
      <c r="K328" s="25">
        <f t="shared" si="25"/>
        <v>68</v>
      </c>
    </row>
    <row r="329" spans="5:11">
      <c r="E329" s="42"/>
      <c r="F329" s="39" t="s">
        <v>59</v>
      </c>
      <c r="G329" s="40">
        <v>0.541666666666667</v>
      </c>
      <c r="H329" s="40">
        <v>0.916666666666667</v>
      </c>
      <c r="I329" s="43">
        <f t="shared" si="24"/>
        <v>9</v>
      </c>
      <c r="J329" s="44">
        <v>17</v>
      </c>
      <c r="K329" s="45">
        <f t="shared" si="25"/>
        <v>153</v>
      </c>
    </row>
    <row r="330" spans="5:11">
      <c r="E330" s="47"/>
      <c r="F330" s="48" t="s">
        <v>59</v>
      </c>
      <c r="G330" s="49">
        <v>0.875</v>
      </c>
      <c r="H330" s="49">
        <v>0.958333333333333</v>
      </c>
      <c r="I330" s="51">
        <f t="shared" si="24"/>
        <v>1.99999999999999</v>
      </c>
      <c r="J330" s="52">
        <v>20</v>
      </c>
      <c r="K330" s="53">
        <f t="shared" si="25"/>
        <v>39.9999999999999</v>
      </c>
    </row>
    <row r="331" spans="5:11">
      <c r="E331" s="7">
        <v>45874</v>
      </c>
      <c r="F331" s="8" t="s">
        <v>8</v>
      </c>
      <c r="G331" s="9"/>
      <c r="H331" s="9"/>
      <c r="I331" s="17">
        <f t="shared" si="24"/>
        <v>0</v>
      </c>
      <c r="J331" s="18">
        <v>16</v>
      </c>
      <c r="K331" s="18">
        <f t="shared" si="25"/>
        <v>0</v>
      </c>
    </row>
    <row r="332" spans="5:11">
      <c r="E332" s="13"/>
      <c r="F332" s="14" t="s">
        <v>62</v>
      </c>
      <c r="G332" s="15">
        <v>0.25</v>
      </c>
      <c r="H332" s="15">
        <v>0.5</v>
      </c>
      <c r="I332" s="21">
        <f t="shared" si="24"/>
        <v>6</v>
      </c>
      <c r="J332" s="22">
        <v>15</v>
      </c>
      <c r="K332" s="22">
        <f t="shared" si="25"/>
        <v>90</v>
      </c>
    </row>
    <row r="333" spans="5:11">
      <c r="E333" s="10"/>
      <c r="F333" s="11" t="s">
        <v>57</v>
      </c>
      <c r="G333" s="15">
        <v>0.25</v>
      </c>
      <c r="H333" s="15">
        <v>0.5</v>
      </c>
      <c r="I333" s="21">
        <f t="shared" si="24"/>
        <v>6</v>
      </c>
      <c r="J333" s="22">
        <v>15</v>
      </c>
      <c r="K333" s="22">
        <f t="shared" si="25"/>
        <v>90</v>
      </c>
    </row>
    <row r="334" spans="5:11">
      <c r="E334" s="37"/>
      <c r="F334" s="30" t="s">
        <v>58</v>
      </c>
      <c r="G334" s="32">
        <v>0.708333333333333</v>
      </c>
      <c r="H334" s="32">
        <v>0.916666666666667</v>
      </c>
      <c r="I334" s="34">
        <f t="shared" si="24"/>
        <v>5.00000000000001</v>
      </c>
      <c r="J334" s="36">
        <v>15</v>
      </c>
      <c r="K334" s="36">
        <f t="shared" si="25"/>
        <v>75.0000000000002</v>
      </c>
    </row>
    <row r="335" spans="5:11">
      <c r="E335" s="10"/>
      <c r="F335" s="11" t="s">
        <v>13</v>
      </c>
      <c r="G335" s="15"/>
      <c r="H335" s="15"/>
      <c r="I335" s="21">
        <f t="shared" si="24"/>
        <v>0</v>
      </c>
      <c r="J335" s="22">
        <v>16</v>
      </c>
      <c r="K335" s="22">
        <f t="shared" si="25"/>
        <v>0</v>
      </c>
    </row>
    <row r="336" spans="5:11">
      <c r="E336" s="13"/>
      <c r="F336" s="14" t="s">
        <v>14</v>
      </c>
      <c r="G336" s="15">
        <v>0.708333333333333</v>
      </c>
      <c r="H336" s="15">
        <v>0.916666666666667</v>
      </c>
      <c r="I336" s="21">
        <f t="shared" si="24"/>
        <v>5.00000000000001</v>
      </c>
      <c r="J336" s="25">
        <v>16</v>
      </c>
      <c r="K336" s="22">
        <f t="shared" si="25"/>
        <v>80.0000000000002</v>
      </c>
    </row>
    <row r="337" spans="5:11">
      <c r="E337" s="10"/>
      <c r="F337" s="11" t="s">
        <v>61</v>
      </c>
      <c r="G337" s="12">
        <v>0.333333333333333</v>
      </c>
      <c r="H337" s="12">
        <v>0.458333333333333</v>
      </c>
      <c r="I337" s="21">
        <f t="shared" ref="I337:I343" si="26">(H337-G337)*24</f>
        <v>3</v>
      </c>
      <c r="J337" s="22">
        <v>17</v>
      </c>
      <c r="K337" s="22">
        <f t="shared" ref="K337:K343" si="27">(J337*I337)</f>
        <v>51</v>
      </c>
    </row>
    <row r="338" spans="5:11">
      <c r="E338" s="29"/>
      <c r="F338" s="30" t="s">
        <v>14</v>
      </c>
      <c r="G338" s="32">
        <v>0.5</v>
      </c>
      <c r="H338" s="32">
        <v>0.708333333333333</v>
      </c>
      <c r="I338" s="34">
        <f t="shared" si="26"/>
        <v>4.99999999999999</v>
      </c>
      <c r="J338" s="35">
        <v>16</v>
      </c>
      <c r="K338" s="36">
        <f t="shared" si="27"/>
        <v>79.9999999999999</v>
      </c>
    </row>
    <row r="339" spans="5:11">
      <c r="E339" s="29"/>
      <c r="F339" s="30" t="s">
        <v>35</v>
      </c>
      <c r="G339" s="32">
        <v>0.25</v>
      </c>
      <c r="H339" s="32">
        <v>0.708333333333333</v>
      </c>
      <c r="I339" s="34">
        <f t="shared" si="26"/>
        <v>11</v>
      </c>
      <c r="J339" s="35">
        <v>15</v>
      </c>
      <c r="K339" s="36">
        <f t="shared" si="27"/>
        <v>165</v>
      </c>
    </row>
    <row r="340" spans="5:11">
      <c r="E340" s="29"/>
      <c r="F340" s="30" t="s">
        <v>60</v>
      </c>
      <c r="G340" s="32">
        <v>0.25</v>
      </c>
      <c r="H340" s="32">
        <v>0.5</v>
      </c>
      <c r="I340" s="34">
        <f t="shared" si="26"/>
        <v>6</v>
      </c>
      <c r="J340" s="35">
        <v>15</v>
      </c>
      <c r="K340" s="36">
        <f t="shared" si="27"/>
        <v>90</v>
      </c>
    </row>
    <row r="341" spans="5:11">
      <c r="E341" s="41"/>
      <c r="F341" s="14" t="s">
        <v>12</v>
      </c>
      <c r="G341" s="15"/>
      <c r="H341" s="15"/>
      <c r="I341" s="24">
        <f t="shared" si="26"/>
        <v>0</v>
      </c>
      <c r="J341" s="46">
        <v>16</v>
      </c>
      <c r="K341" s="25">
        <f t="shared" si="27"/>
        <v>0</v>
      </c>
    </row>
    <row r="342" spans="5:11">
      <c r="E342" s="42"/>
      <c r="F342" s="39" t="s">
        <v>59</v>
      </c>
      <c r="G342" s="40">
        <v>0.541666666666667</v>
      </c>
      <c r="H342" s="40">
        <v>0.916666666666667</v>
      </c>
      <c r="I342" s="43">
        <f t="shared" si="26"/>
        <v>9</v>
      </c>
      <c r="J342" s="44">
        <v>17</v>
      </c>
      <c r="K342" s="45">
        <f t="shared" si="27"/>
        <v>153</v>
      </c>
    </row>
    <row r="343" spans="5:11">
      <c r="E343" s="47"/>
      <c r="F343" s="48" t="s">
        <v>59</v>
      </c>
      <c r="G343" s="49">
        <v>0.875</v>
      </c>
      <c r="H343" s="49">
        <v>0.958333333333333</v>
      </c>
      <c r="I343" s="51">
        <f t="shared" si="26"/>
        <v>1.99999999999999</v>
      </c>
      <c r="J343" s="52">
        <v>20</v>
      </c>
      <c r="K343" s="53">
        <f t="shared" si="27"/>
        <v>39.9999999999999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E1:Q17"/>
  <sheetViews>
    <sheetView tabSelected="1" workbookViewId="0">
      <selection activeCell="O19" sqref="O19"/>
    </sheetView>
  </sheetViews>
  <sheetFormatPr defaultColWidth="9.14285714285714" defaultRowHeight="15"/>
  <cols>
    <col min="5" max="5" width="10.5714285714286" style="1" customWidth="1"/>
    <col min="6" max="8" width="9.14285714285714" style="2"/>
    <col min="9" max="9" width="15.7142857142857" style="2" customWidth="1"/>
    <col min="10" max="10" width="10.7142857142857" style="2" customWidth="1"/>
    <col min="11" max="11" width="11.1428571428571" style="2" customWidth="1"/>
  </cols>
  <sheetData>
    <row r="1" spans="5:11">
      <c r="E1" s="3"/>
      <c r="F1" s="4"/>
      <c r="G1" s="4"/>
      <c r="H1" s="4"/>
      <c r="I1" s="4"/>
      <c r="J1" s="4"/>
      <c r="K1" s="4"/>
    </row>
    <row r="2" spans="5:11">
      <c r="E2" s="3"/>
      <c r="F2" s="4"/>
      <c r="G2" s="4"/>
      <c r="H2" s="4"/>
      <c r="I2" s="4"/>
      <c r="J2" s="4"/>
      <c r="K2" s="4"/>
    </row>
    <row r="3" spans="5:11">
      <c r="E3" s="3"/>
      <c r="F3" s="4"/>
      <c r="G3" s="4"/>
      <c r="H3" s="4"/>
      <c r="I3" s="4"/>
      <c r="J3" s="4"/>
      <c r="K3" s="4"/>
    </row>
    <row r="4" spans="5:11">
      <c r="E4" s="3"/>
      <c r="F4" s="4"/>
      <c r="G4" s="4"/>
      <c r="H4" s="4"/>
      <c r="I4" s="4"/>
      <c r="J4" s="4"/>
      <c r="K4" s="4"/>
    </row>
    <row r="5" spans="5:11">
      <c r="E5" s="3"/>
      <c r="F5" s="4"/>
      <c r="G5" s="4"/>
      <c r="H5" s="4"/>
      <c r="I5" s="4"/>
      <c r="J5" s="4"/>
      <c r="K5" s="4"/>
    </row>
    <row r="6" spans="5:11">
      <c r="E6" s="3"/>
      <c r="F6" s="4"/>
      <c r="G6" s="4"/>
      <c r="H6" s="4"/>
      <c r="I6" s="4"/>
      <c r="J6" s="4"/>
      <c r="K6" s="4"/>
    </row>
    <row r="7" spans="5:11">
      <c r="E7" s="3"/>
      <c r="F7" s="4"/>
      <c r="G7" s="4"/>
      <c r="H7" s="4"/>
      <c r="I7" s="4"/>
      <c r="J7" s="4"/>
      <c r="K7" s="4"/>
    </row>
    <row r="8" spans="5:11">
      <c r="E8" s="3"/>
      <c r="F8" s="4"/>
      <c r="G8" s="4"/>
      <c r="H8" s="4"/>
      <c r="I8" s="4"/>
      <c r="J8" s="4"/>
      <c r="K8" s="4"/>
    </row>
    <row r="9" spans="5:17">
      <c r="E9" s="5" t="s">
        <v>0</v>
      </c>
      <c r="F9" s="6" t="s">
        <v>1</v>
      </c>
      <c r="G9" s="6" t="s">
        <v>2</v>
      </c>
      <c r="H9" s="6" t="s">
        <v>3</v>
      </c>
      <c r="I9" s="6" t="s">
        <v>4</v>
      </c>
      <c r="J9" s="6" t="s">
        <v>5</v>
      </c>
      <c r="K9" s="6" t="s">
        <v>6</v>
      </c>
      <c r="L9" s="16" t="s">
        <v>1</v>
      </c>
      <c r="M9" s="16" t="s">
        <v>7</v>
      </c>
      <c r="N9" s="16" t="s">
        <v>1</v>
      </c>
      <c r="O9" s="16" t="s">
        <v>7</v>
      </c>
      <c r="P9" s="16" t="s">
        <v>1</v>
      </c>
      <c r="Q9" s="16" t="s">
        <v>7</v>
      </c>
    </row>
    <row r="10" spans="5:17">
      <c r="E10" s="7">
        <v>45904</v>
      </c>
      <c r="F10" s="8" t="s">
        <v>8</v>
      </c>
      <c r="G10" s="9"/>
      <c r="H10" s="9"/>
      <c r="I10" s="17">
        <f t="shared" ref="I10:I13" si="0">(H10-G10)*24</f>
        <v>0</v>
      </c>
      <c r="J10" s="18">
        <v>15</v>
      </c>
      <c r="K10" s="18">
        <f t="shared" ref="K10:K13" si="1">(J10*I10)</f>
        <v>0</v>
      </c>
      <c r="L10" s="19" t="s">
        <v>8</v>
      </c>
      <c r="M10" s="19">
        <f>SUMIF(F10:F1007,"Hoàng",K10:K1007)</f>
        <v>0</v>
      </c>
      <c r="N10" s="19" t="s">
        <v>9</v>
      </c>
      <c r="O10" s="20">
        <f>SUMIF(F10:F1007,"Thảo",K10:K1007)</f>
        <v>0</v>
      </c>
      <c r="P10" s="19" t="s">
        <v>57</v>
      </c>
      <c r="Q10" s="23">
        <f>SUMIF(F7:F1004,"Đô",K7:K1004)</f>
        <v>0</v>
      </c>
    </row>
    <row r="11" spans="5:17">
      <c r="E11" s="10"/>
      <c r="F11" s="11" t="s">
        <v>10</v>
      </c>
      <c r="G11" s="12"/>
      <c r="H11" s="12"/>
      <c r="I11" s="21">
        <f t="shared" si="0"/>
        <v>0</v>
      </c>
      <c r="J11" s="22">
        <v>15</v>
      </c>
      <c r="K11" s="22">
        <f t="shared" si="1"/>
        <v>0</v>
      </c>
      <c r="L11" s="19" t="s">
        <v>10</v>
      </c>
      <c r="M11" s="19">
        <f>SUMIF(F10:F1007,"Trâm",K10:K1007)</f>
        <v>0</v>
      </c>
      <c r="N11" s="19" t="s">
        <v>33</v>
      </c>
      <c r="O11" s="23">
        <f>SUMIF(F10:F1007,"An",K10:K1007)</f>
        <v>0</v>
      </c>
      <c r="P11" s="19" t="s">
        <v>58</v>
      </c>
      <c r="Q11" s="23">
        <f>SUMIF(F8:F1005,"Hương",K8:K1005)</f>
        <v>0</v>
      </c>
    </row>
    <row r="12" spans="5:17">
      <c r="E12" s="10"/>
      <c r="F12" s="11" t="s">
        <v>12</v>
      </c>
      <c r="G12" s="12"/>
      <c r="H12" s="12"/>
      <c r="I12" s="21">
        <f t="shared" si="0"/>
        <v>0</v>
      </c>
      <c r="J12" s="22">
        <v>15</v>
      </c>
      <c r="K12" s="22">
        <f t="shared" si="1"/>
        <v>0</v>
      </c>
      <c r="L12" s="19" t="s">
        <v>12</v>
      </c>
      <c r="M12" s="20">
        <f>SUMIF(F10:F1007,"Ngọc",K10:K1007)</f>
        <v>0</v>
      </c>
      <c r="N12" s="19" t="s">
        <v>34</v>
      </c>
      <c r="O12" s="23">
        <f>SUMIF(F10:F1007,"Tân",K10:K1007)</f>
        <v>0</v>
      </c>
      <c r="P12" s="19" t="s">
        <v>59</v>
      </c>
      <c r="Q12" s="23">
        <f>SUMIF(F9:F1006,"Hiệp",K9:K1006)</f>
        <v>0</v>
      </c>
    </row>
    <row r="13" spans="5:17">
      <c r="E13" s="10"/>
      <c r="F13" s="11" t="s">
        <v>13</v>
      </c>
      <c r="G13" s="11"/>
      <c r="H13" s="11"/>
      <c r="I13" s="21">
        <f t="shared" si="0"/>
        <v>0</v>
      </c>
      <c r="J13" s="22">
        <v>15</v>
      </c>
      <c r="K13" s="22">
        <f t="shared" si="1"/>
        <v>0</v>
      </c>
      <c r="L13" s="19" t="s">
        <v>13</v>
      </c>
      <c r="M13" s="19">
        <f>SUMIF(F10:F1007,"Quỳnh",K10:K1007)</f>
        <v>0</v>
      </c>
      <c r="N13" s="19" t="s">
        <v>35</v>
      </c>
      <c r="O13" s="23">
        <f>SUMIF(F10:F1007,"Tuấn",K10:K1007)</f>
        <v>0</v>
      </c>
      <c r="P13" s="19" t="s">
        <v>60</v>
      </c>
      <c r="Q13" s="23">
        <f>SUMIF(F10:F1007,"Vy",K10:K1007)</f>
        <v>0</v>
      </c>
    </row>
    <row r="14" spans="5:15">
      <c r="E14" s="13"/>
      <c r="F14" s="14" t="s">
        <v>14</v>
      </c>
      <c r="G14" s="15"/>
      <c r="H14" s="15"/>
      <c r="I14" s="24"/>
      <c r="J14" s="25"/>
      <c r="K14" s="25"/>
      <c r="L14" s="19" t="s">
        <v>14</v>
      </c>
      <c r="M14" s="19">
        <f>SUMIF(F10:F1007,"Lượng",K10:K1007)</f>
        <v>0</v>
      </c>
      <c r="N14" s="19" t="s">
        <v>61</v>
      </c>
      <c r="O14" s="23">
        <f>SUMIF(F11:F1008,"Bo",K11:K1008)</f>
        <v>0</v>
      </c>
    </row>
    <row r="15" spans="5:15">
      <c r="E15" s="10"/>
      <c r="F15" s="11" t="s">
        <v>9</v>
      </c>
      <c r="G15" s="12"/>
      <c r="H15" s="12"/>
      <c r="I15" s="21"/>
      <c r="J15" s="22"/>
      <c r="K15" s="22"/>
      <c r="L15" s="26" t="s">
        <v>15</v>
      </c>
      <c r="M15" s="20">
        <f>(SUM(M10,M14,M13,M12,M11,O10,O11,O12,O13,O14,O15,Q10,Q11,Q12))</f>
        <v>0</v>
      </c>
      <c r="N15" s="19" t="s">
        <v>62</v>
      </c>
      <c r="O15" s="23">
        <f>SUMIF(F12:F1009,"Trí",K12:K1009)</f>
        <v>0</v>
      </c>
    </row>
    <row r="16" spans="6:6">
      <c r="F16" s="11" t="s">
        <v>34</v>
      </c>
    </row>
    <row r="17" spans="6:6">
      <c r="F17" s="1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Tháng 2</vt:lpstr>
      <vt:lpstr>Tháng 3</vt:lpstr>
      <vt:lpstr>Tháng 4</vt:lpstr>
      <vt:lpstr>Tháng 5 - Hồ Đắc 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</dc:creator>
  <cp:lastModifiedBy>thien</cp:lastModifiedBy>
  <dcterms:created xsi:type="dcterms:W3CDTF">2025-02-12T16:13:00Z</dcterms:created>
  <dcterms:modified xsi:type="dcterms:W3CDTF">2025-06-08T09:57:22Z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1ABBE91B8A7A4DC985B41D1A83C96552_13</vt:lpwstr>
  </property>
  <property fmtid="{D5CDD505-2E9C-101B-9397-08002B2CF9AE}" pid="3" name="KSOProductBuildVer">
    <vt:lpwstr>1033-12.2.0.21179</vt:lpwstr>
  </property>
</Properties>
</file>